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8c3852497b933aa/Desktop/script/"/>
    </mc:Choice>
  </mc:AlternateContent>
  <xr:revisionPtr revIDLastSave="7" documentId="8_{C088CB66-5C15-49CE-939F-13FEB240F299}" xr6:coauthVersionLast="47" xr6:coauthVersionMax="47" xr10:uidLastSave="{F3B98308-EEDD-4036-9E90-F6EBA8D3DA69}"/>
  <bookViews>
    <workbookView xWindow="1116" yWindow="1116" windowWidth="17280" windowHeight="8880" xr2:uid="{29835794-3066-4408-A249-EEE67CAA5A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3" i="1" l="1"/>
  <c r="L13" i="1" s="1"/>
  <c r="C13" i="1"/>
</calcChain>
</file>

<file path=xl/sharedStrings.xml><?xml version="1.0" encoding="utf-8"?>
<sst xmlns="http://schemas.openxmlformats.org/spreadsheetml/2006/main" count="30" uniqueCount="15">
  <si>
    <t>CALLS</t>
  </si>
  <si>
    <t>PUTS</t>
  </si>
  <si>
    <t>OI</t>
  </si>
  <si>
    <t>Chng in OI</t>
  </si>
  <si>
    <t>Volume</t>
  </si>
  <si>
    <t>IV</t>
  </si>
  <si>
    <t>LTP</t>
  </si>
  <si>
    <t>Chng</t>
  </si>
  <si>
    <t>Bid Qty</t>
  </si>
  <si>
    <t>Bid</t>
  </si>
  <si>
    <t>Ask</t>
  </si>
  <si>
    <t>Ask Qty</t>
  </si>
  <si>
    <t>Strike</t>
  </si>
  <si>
    <t>pcr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</si>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</sst>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rgb="FF333333"/>
      <name val="Arial"/>
      <family val="2"/>
    </font>
    <font>
      <u/>
      <sz val="8"/>
      <color rgb="FF295C89"/>
      <name val="Arial"/>
      <family val="2"/>
    </font>
    <font>
      <sz val="8"/>
      <color rgb="FF007A00"/>
      <name val="Arial"/>
      <family val="2"/>
    </font>
    <font>
      <sz val="8"/>
      <color rgb="FFCB0505"/>
      <name val="Arial"/>
      <family val="2"/>
    </font>
    <font>
      <u/>
      <sz val="11"/>
      <color theme="10"/>
      <name val="Calibri"/>
      <family val="2"/>
      <scheme val="minor"/>
    </font>
    <font>
      <sz val="8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3A2D7D"/>
        <bgColor indexed="64"/>
      </patternFill>
    </fill>
  </fills>
  <borders count="8">
    <border>
      <left/>
      <right/>
      <top/>
      <bottom/>
      <diagonal/>
    </border>
    <border>
      <left/>
      <right style="medium">
        <color rgb="FFE3E3E3"/>
      </right>
      <top/>
      <bottom style="medium">
        <color rgb="FFE3E3E3"/>
      </bottom>
      <diagonal/>
    </border>
    <border>
      <left/>
      <right/>
      <top/>
      <bottom style="medium">
        <color rgb="FFE3E3E3"/>
      </bottom>
      <diagonal/>
    </border>
    <border>
      <left style="medium">
        <color rgb="FFE3E3E3"/>
      </left>
      <right style="medium">
        <color rgb="FFE3E3E3"/>
      </right>
      <top style="medium">
        <color rgb="FFE3E3E3"/>
      </top>
      <bottom style="medium">
        <color rgb="FFE3E3E3"/>
      </bottom>
      <diagonal/>
    </border>
    <border>
      <left/>
      <right style="medium">
        <color rgb="FFE3E3E3"/>
      </right>
      <top style="medium">
        <color rgb="FFE3E3E3"/>
      </top>
      <bottom style="medium">
        <color rgb="FFE3E3E3"/>
      </bottom>
      <diagonal/>
    </border>
    <border>
      <left style="medium">
        <color rgb="FFE3E3E3"/>
      </left>
      <right style="medium">
        <color rgb="FFE3E3E3"/>
      </right>
      <top/>
      <bottom style="medium">
        <color rgb="FFE3E3E3"/>
      </bottom>
      <diagonal/>
    </border>
    <border>
      <left style="medium">
        <color rgb="FFE3E3E3"/>
      </left>
      <right/>
      <top style="medium">
        <color rgb="FFE3E3E3"/>
      </top>
      <bottom style="medium">
        <color rgb="FFE3E3E3"/>
      </bottom>
      <diagonal/>
    </border>
    <border>
      <left/>
      <right/>
      <top style="medium">
        <color rgb="FFE3E3E3"/>
      </top>
      <bottom style="medium">
        <color rgb="FFE3E3E3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3" fontId="1" fillId="2" borderId="1" xfId="0" applyNumberFormat="1" applyFont="1" applyFill="1" applyBorder="1" applyAlignment="1">
      <alignment horizontal="center" vertical="top" wrapText="1"/>
    </xf>
    <xf numFmtId="0" fontId="5" fillId="2" borderId="1" xfId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4" fontId="5" fillId="2" borderId="1" xfId="1" applyNumberForma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3" fontId="1" fillId="2" borderId="4" xfId="0" applyNumberFormat="1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0" fontId="5" fillId="2" borderId="4" xfId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4" fontId="5" fillId="2" borderId="4" xfId="1" applyNumberForma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 wrapText="1"/>
    </xf>
    <xf numFmtId="0" fontId="2" fillId="2" borderId="5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0" fillId="2" borderId="1" xfId="0" applyFill="1" applyBorder="1"/>
    <xf numFmtId="3" fontId="0" fillId="0" borderId="0" xfId="0" applyNumberFormat="1"/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javascript:;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137160</xdr:colOff>
      <xdr:row>0</xdr:row>
      <xdr:rowOff>121920</xdr:rowOff>
    </xdr:to>
    <xdr:pic>
      <xdr:nvPicPr>
        <xdr:cNvPr id="2" name="Picture 1" descr="Calls chart for row 4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888753-A6BA-6AEA-98D3-95CE242C19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0</xdr:row>
      <xdr:rowOff>0</xdr:rowOff>
    </xdr:from>
    <xdr:to>
      <xdr:col>22</xdr:col>
      <xdr:colOff>137160</xdr:colOff>
      <xdr:row>0</xdr:row>
      <xdr:rowOff>121920</xdr:rowOff>
    </xdr:to>
    <xdr:pic>
      <xdr:nvPicPr>
        <xdr:cNvPr id="3" name="Picture 2" descr="Puts chart for row 4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BF9DFD-7C61-2E3C-ABE2-6702357F6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137160</xdr:colOff>
      <xdr:row>1</xdr:row>
      <xdr:rowOff>121920</xdr:rowOff>
    </xdr:to>
    <xdr:pic>
      <xdr:nvPicPr>
        <xdr:cNvPr id="4" name="Picture 3" descr="Calls chart for row 4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A0E513-E22B-6028-3642-4E4B2B57E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1</xdr:row>
      <xdr:rowOff>0</xdr:rowOff>
    </xdr:from>
    <xdr:to>
      <xdr:col>22</xdr:col>
      <xdr:colOff>137160</xdr:colOff>
      <xdr:row>1</xdr:row>
      <xdr:rowOff>121920</xdr:rowOff>
    </xdr:to>
    <xdr:pic>
      <xdr:nvPicPr>
        <xdr:cNvPr id="5" name="Picture 4" descr="Puts chart for row 4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4BFFC3-2BC2-82EC-570B-41942D2130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90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137160</xdr:colOff>
      <xdr:row>2</xdr:row>
      <xdr:rowOff>121920</xdr:rowOff>
    </xdr:to>
    <xdr:pic>
      <xdr:nvPicPr>
        <xdr:cNvPr id="6" name="Picture 5" descr="Calls chart for row 4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461D6F-3641-7E5A-0980-132334A21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137160</xdr:colOff>
      <xdr:row>2</xdr:row>
      <xdr:rowOff>121920</xdr:rowOff>
    </xdr:to>
    <xdr:pic>
      <xdr:nvPicPr>
        <xdr:cNvPr id="7" name="Picture 6" descr="Puts chart for row 4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CA76C4-5E23-5496-F58A-D37AF32011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137160</xdr:colOff>
      <xdr:row>3</xdr:row>
      <xdr:rowOff>121920</xdr:rowOff>
    </xdr:to>
    <xdr:pic>
      <xdr:nvPicPr>
        <xdr:cNvPr id="8" name="Picture 7" descr="Calls chart for row 4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BF3158-6A65-FFFC-7ABE-0DC9E9304B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137160</xdr:colOff>
      <xdr:row>3</xdr:row>
      <xdr:rowOff>121920</xdr:rowOff>
    </xdr:to>
    <xdr:pic>
      <xdr:nvPicPr>
        <xdr:cNvPr id="9" name="Picture 8" descr="Puts chart for row 4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40E558-D357-BA60-07F1-CDFF8F8224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137160</xdr:colOff>
      <xdr:row>4</xdr:row>
      <xdr:rowOff>121920</xdr:rowOff>
    </xdr:to>
    <xdr:pic>
      <xdr:nvPicPr>
        <xdr:cNvPr id="10" name="Picture 9" descr="Call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56279D-ABEC-51D3-5DB9-76A53CF42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137160</xdr:colOff>
      <xdr:row>4</xdr:row>
      <xdr:rowOff>121920</xdr:rowOff>
    </xdr:to>
    <xdr:pic>
      <xdr:nvPicPr>
        <xdr:cNvPr id="11" name="Picture 10" descr="Put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D76FC1-F005-93CC-4916-87546575A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137160</xdr:colOff>
      <xdr:row>5</xdr:row>
      <xdr:rowOff>121920</xdr:rowOff>
    </xdr:to>
    <xdr:pic>
      <xdr:nvPicPr>
        <xdr:cNvPr id="12" name="Picture 11" descr="Call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79A40-159F-2B2F-6A48-85C54E51F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137160</xdr:colOff>
      <xdr:row>5</xdr:row>
      <xdr:rowOff>121920</xdr:rowOff>
    </xdr:to>
    <xdr:pic>
      <xdr:nvPicPr>
        <xdr:cNvPr id="13" name="Picture 12" descr="Put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EB1C2F-8766-282F-8C59-471351874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137160</xdr:colOff>
      <xdr:row>6</xdr:row>
      <xdr:rowOff>121920</xdr:rowOff>
    </xdr:to>
    <xdr:pic>
      <xdr:nvPicPr>
        <xdr:cNvPr id="14" name="Picture 13" descr="Call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A7F35A-E6DB-8DBF-F5B2-AA8B9E82D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137160</xdr:colOff>
      <xdr:row>6</xdr:row>
      <xdr:rowOff>121920</xdr:rowOff>
    </xdr:to>
    <xdr:pic>
      <xdr:nvPicPr>
        <xdr:cNvPr id="15" name="Picture 14" descr="Put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6483871-D777-9C0F-3F60-A90ED1AAC8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137160</xdr:colOff>
      <xdr:row>7</xdr:row>
      <xdr:rowOff>121920</xdr:rowOff>
    </xdr:to>
    <xdr:pic>
      <xdr:nvPicPr>
        <xdr:cNvPr id="16" name="Picture 15" descr="Call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72B09-2825-6C6F-1A02-F3378AA4E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137160</xdr:colOff>
      <xdr:row>7</xdr:row>
      <xdr:rowOff>121920</xdr:rowOff>
    </xdr:to>
    <xdr:pic>
      <xdr:nvPicPr>
        <xdr:cNvPr id="17" name="Picture 16" descr="Put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D29766-8B39-A815-C20F-1CCA87F19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137160</xdr:colOff>
      <xdr:row>8</xdr:row>
      <xdr:rowOff>121920</xdr:rowOff>
    </xdr:to>
    <xdr:pic>
      <xdr:nvPicPr>
        <xdr:cNvPr id="18" name="Picture 17" descr="Calls chart for row 5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62EB31-3D74-0C28-206F-81A93997A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137160</xdr:colOff>
      <xdr:row>8</xdr:row>
      <xdr:rowOff>121920</xdr:rowOff>
    </xdr:to>
    <xdr:pic>
      <xdr:nvPicPr>
        <xdr:cNvPr id="19" name="Picture 18" descr="Puts chart for row 5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58BBFE-2A90-C321-FF7A-336052134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137160</xdr:colOff>
      <xdr:row>2</xdr:row>
      <xdr:rowOff>121920</xdr:rowOff>
    </xdr:to>
    <xdr:pic>
      <xdr:nvPicPr>
        <xdr:cNvPr id="20" name="Picture 19" descr="Calls chart for row 4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2B6047-9048-3902-B3B3-886F458EC4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137160</xdr:colOff>
      <xdr:row>2</xdr:row>
      <xdr:rowOff>121920</xdr:rowOff>
    </xdr:to>
    <xdr:pic>
      <xdr:nvPicPr>
        <xdr:cNvPr id="21" name="Picture 20" descr="Puts chart for row 4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F1D3CB-EFBD-AFC9-FF35-5F123F59D9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137160</xdr:colOff>
      <xdr:row>3</xdr:row>
      <xdr:rowOff>121920</xdr:rowOff>
    </xdr:to>
    <xdr:pic>
      <xdr:nvPicPr>
        <xdr:cNvPr id="22" name="Picture 21" descr="Calls chart for row 4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AD7379-1CF4-C32D-30D2-6D5E286C1A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137160</xdr:colOff>
      <xdr:row>3</xdr:row>
      <xdr:rowOff>121920</xdr:rowOff>
    </xdr:to>
    <xdr:pic>
      <xdr:nvPicPr>
        <xdr:cNvPr id="23" name="Picture 22" descr="Puts chart for row 4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9D9BB2-5994-BD7D-841B-577AEE755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137160</xdr:colOff>
      <xdr:row>4</xdr:row>
      <xdr:rowOff>121920</xdr:rowOff>
    </xdr:to>
    <xdr:pic>
      <xdr:nvPicPr>
        <xdr:cNvPr id="24" name="Picture 23" descr="Calls chart for row 4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6BC72F-2A17-F87A-18BB-0A43F916D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137160</xdr:colOff>
      <xdr:row>4</xdr:row>
      <xdr:rowOff>121920</xdr:rowOff>
    </xdr:to>
    <xdr:pic>
      <xdr:nvPicPr>
        <xdr:cNvPr id="25" name="Picture 24" descr="Puts chart for row 4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476E55-C615-DAC9-4717-25C77224C4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137160</xdr:colOff>
      <xdr:row>5</xdr:row>
      <xdr:rowOff>121920</xdr:rowOff>
    </xdr:to>
    <xdr:pic>
      <xdr:nvPicPr>
        <xdr:cNvPr id="26" name="Picture 25" descr="Calls chart for row 4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A31CAF-FCF9-F732-3F61-A793BD1F6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137160</xdr:colOff>
      <xdr:row>5</xdr:row>
      <xdr:rowOff>121920</xdr:rowOff>
    </xdr:to>
    <xdr:pic>
      <xdr:nvPicPr>
        <xdr:cNvPr id="27" name="Picture 26" descr="Puts chart for row 4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D0C8924-62E0-21B9-D88C-7B668FDE6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137160</xdr:colOff>
      <xdr:row>6</xdr:row>
      <xdr:rowOff>121920</xdr:rowOff>
    </xdr:to>
    <xdr:pic>
      <xdr:nvPicPr>
        <xdr:cNvPr id="28" name="Picture 27" descr="Call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730263-2913-1266-F70A-51BF9BC016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137160</xdr:colOff>
      <xdr:row>6</xdr:row>
      <xdr:rowOff>121920</xdr:rowOff>
    </xdr:to>
    <xdr:pic>
      <xdr:nvPicPr>
        <xdr:cNvPr id="29" name="Picture 28" descr="Put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98888F-E91B-213B-FBFA-1AFC45FF36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137160</xdr:colOff>
      <xdr:row>7</xdr:row>
      <xdr:rowOff>121920</xdr:rowOff>
    </xdr:to>
    <xdr:pic>
      <xdr:nvPicPr>
        <xdr:cNvPr id="30" name="Picture 29" descr="Call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D3FFAFA-C451-2249-205C-1563F30DA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137160</xdr:colOff>
      <xdr:row>7</xdr:row>
      <xdr:rowOff>121920</xdr:rowOff>
    </xdr:to>
    <xdr:pic>
      <xdr:nvPicPr>
        <xdr:cNvPr id="31" name="Picture 30" descr="Put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995C60-72B3-C501-C742-23D14D80A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137160</xdr:colOff>
      <xdr:row>8</xdr:row>
      <xdr:rowOff>121920</xdr:rowOff>
    </xdr:to>
    <xdr:pic>
      <xdr:nvPicPr>
        <xdr:cNvPr id="32" name="Picture 31" descr="Call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65B07C-CF90-CF34-096C-7197289AEB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137160</xdr:colOff>
      <xdr:row>8</xdr:row>
      <xdr:rowOff>121920</xdr:rowOff>
    </xdr:to>
    <xdr:pic>
      <xdr:nvPicPr>
        <xdr:cNvPr id="33" name="Picture 32" descr="Put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40AC29-268C-AFF7-E516-261FCE661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137160</xdr:colOff>
      <xdr:row>9</xdr:row>
      <xdr:rowOff>121920</xdr:rowOff>
    </xdr:to>
    <xdr:pic>
      <xdr:nvPicPr>
        <xdr:cNvPr id="34" name="Picture 33" descr="Call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C27D89-E65A-FAF5-82A9-107E41FD3E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4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137160</xdr:colOff>
      <xdr:row>9</xdr:row>
      <xdr:rowOff>121920</xdr:rowOff>
    </xdr:to>
    <xdr:pic>
      <xdr:nvPicPr>
        <xdr:cNvPr id="35" name="Picture 34" descr="Put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8B856CF-76CD-0709-0476-2795B70D2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714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137160</xdr:colOff>
      <xdr:row>10</xdr:row>
      <xdr:rowOff>121920</xdr:rowOff>
    </xdr:to>
    <xdr:pic>
      <xdr:nvPicPr>
        <xdr:cNvPr id="36" name="Picture 35" descr="Calls chart for row 5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57A8D0-58C3-AFE5-0585-2751BAB502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137160</xdr:colOff>
      <xdr:row>2</xdr:row>
      <xdr:rowOff>121920</xdr:rowOff>
    </xdr:to>
    <xdr:pic>
      <xdr:nvPicPr>
        <xdr:cNvPr id="37" name="Picture 36" descr="Call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56D21C-5764-E955-3CDA-00F523E90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22</xdr:col>
      <xdr:colOff>137160</xdr:colOff>
      <xdr:row>2</xdr:row>
      <xdr:rowOff>121920</xdr:rowOff>
    </xdr:to>
    <xdr:pic>
      <xdr:nvPicPr>
        <xdr:cNvPr id="38" name="Picture 37" descr="Puts chart for row 4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C60BE7-A223-832E-FA39-C25712E04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381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137160</xdr:colOff>
      <xdr:row>3</xdr:row>
      <xdr:rowOff>121920</xdr:rowOff>
    </xdr:to>
    <xdr:pic>
      <xdr:nvPicPr>
        <xdr:cNvPr id="39" name="Picture 38" descr="Call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32F076-E7E0-0BD0-EBDA-9CC0A8713C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</xdr:row>
      <xdr:rowOff>0</xdr:rowOff>
    </xdr:from>
    <xdr:to>
      <xdr:col>22</xdr:col>
      <xdr:colOff>137160</xdr:colOff>
      <xdr:row>3</xdr:row>
      <xdr:rowOff>121920</xdr:rowOff>
    </xdr:to>
    <xdr:pic>
      <xdr:nvPicPr>
        <xdr:cNvPr id="40" name="Picture 39" descr="Puts chart for row 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06C1B3-9945-3945-F2DA-0D74EDD5D5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571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137160</xdr:colOff>
      <xdr:row>4</xdr:row>
      <xdr:rowOff>121920</xdr:rowOff>
    </xdr:to>
    <xdr:pic>
      <xdr:nvPicPr>
        <xdr:cNvPr id="41" name="Picture 40" descr="Call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04732A-2B71-9AE8-2025-3223A8007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4</xdr:row>
      <xdr:rowOff>0</xdr:rowOff>
    </xdr:from>
    <xdr:to>
      <xdr:col>22</xdr:col>
      <xdr:colOff>137160</xdr:colOff>
      <xdr:row>4</xdr:row>
      <xdr:rowOff>121920</xdr:rowOff>
    </xdr:to>
    <xdr:pic>
      <xdr:nvPicPr>
        <xdr:cNvPr id="42" name="Picture 41" descr="Puts chart for row 5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A9947D-4E8B-D509-4586-DA4E3E62C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762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137160</xdr:colOff>
      <xdr:row>5</xdr:row>
      <xdr:rowOff>121920</xdr:rowOff>
    </xdr:to>
    <xdr:pic>
      <xdr:nvPicPr>
        <xdr:cNvPr id="43" name="Picture 42" descr="Call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DB86B5-73CE-1505-C759-C9BA5BA72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137160</xdr:colOff>
      <xdr:row>5</xdr:row>
      <xdr:rowOff>121920</xdr:rowOff>
    </xdr:to>
    <xdr:pic>
      <xdr:nvPicPr>
        <xdr:cNvPr id="44" name="Picture 43" descr="Puts chart for row 5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53C5DBD-705E-CD1B-C052-6B7E1FE103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952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137160</xdr:colOff>
      <xdr:row>6</xdr:row>
      <xdr:rowOff>121920</xdr:rowOff>
    </xdr:to>
    <xdr:pic>
      <xdr:nvPicPr>
        <xdr:cNvPr id="45" name="Picture 44" descr="Calls chart for row 5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78D93E-7D45-6E6E-E8E1-F71BBE39AB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6</xdr:row>
      <xdr:rowOff>0</xdr:rowOff>
    </xdr:from>
    <xdr:to>
      <xdr:col>22</xdr:col>
      <xdr:colOff>137160</xdr:colOff>
      <xdr:row>6</xdr:row>
      <xdr:rowOff>121920</xdr:rowOff>
    </xdr:to>
    <xdr:pic>
      <xdr:nvPicPr>
        <xdr:cNvPr id="46" name="Picture 45" descr="Puts chart for row 5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8BE8E9-3EE1-61B2-7D1D-5369230A37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143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137160</xdr:colOff>
      <xdr:row>7</xdr:row>
      <xdr:rowOff>121920</xdr:rowOff>
    </xdr:to>
    <xdr:pic>
      <xdr:nvPicPr>
        <xdr:cNvPr id="47" name="Picture 46" descr="Calls chart for row 5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A268B5-706D-B1A6-11CB-A3DED57AE5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7</xdr:row>
      <xdr:rowOff>0</xdr:rowOff>
    </xdr:from>
    <xdr:to>
      <xdr:col>22</xdr:col>
      <xdr:colOff>137160</xdr:colOff>
      <xdr:row>7</xdr:row>
      <xdr:rowOff>121920</xdr:rowOff>
    </xdr:to>
    <xdr:pic>
      <xdr:nvPicPr>
        <xdr:cNvPr id="48" name="Picture 47" descr="Puts chart for row 5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56EA5-054B-880C-6404-2C12A0988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333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137160</xdr:colOff>
      <xdr:row>8</xdr:row>
      <xdr:rowOff>121920</xdr:rowOff>
    </xdr:to>
    <xdr:pic>
      <xdr:nvPicPr>
        <xdr:cNvPr id="49" name="Picture 48" descr="Calls chart for row 5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C1AD4B5-C449-BADA-BE02-5066F4356E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8</xdr:row>
      <xdr:rowOff>0</xdr:rowOff>
    </xdr:from>
    <xdr:to>
      <xdr:col>22</xdr:col>
      <xdr:colOff>137160</xdr:colOff>
      <xdr:row>8</xdr:row>
      <xdr:rowOff>121920</xdr:rowOff>
    </xdr:to>
    <xdr:pic>
      <xdr:nvPicPr>
        <xdr:cNvPr id="50" name="Picture 49" descr="Puts chart for row 5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665336-B4AD-0645-DD27-3AF0228571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524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137160</xdr:colOff>
      <xdr:row>9</xdr:row>
      <xdr:rowOff>121920</xdr:rowOff>
    </xdr:to>
    <xdr:pic>
      <xdr:nvPicPr>
        <xdr:cNvPr id="51" name="Picture 50" descr="Calls chart for row 5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A2BCA4-F595-87F4-D74F-D5E17C18BD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4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9</xdr:row>
      <xdr:rowOff>0</xdr:rowOff>
    </xdr:from>
    <xdr:to>
      <xdr:col>22</xdr:col>
      <xdr:colOff>137160</xdr:colOff>
      <xdr:row>9</xdr:row>
      <xdr:rowOff>121920</xdr:rowOff>
    </xdr:to>
    <xdr:pic>
      <xdr:nvPicPr>
        <xdr:cNvPr id="52" name="Picture 51" descr="Puts chart for row 5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C4D850-2DC8-A01C-EC76-C5984DCBA5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17145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137160</xdr:colOff>
      <xdr:row>10</xdr:row>
      <xdr:rowOff>121920</xdr:rowOff>
    </xdr:to>
    <xdr:pic>
      <xdr:nvPicPr>
        <xdr:cNvPr id="53" name="Picture 52" descr="Calls chart for row 5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FC40F6-AC44-B468-3BD3-20E82E1EA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0"/>
          <a:ext cx="137160" cy="121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javascript:;" TargetMode="External"/><Relationship Id="rId13" Type="http://schemas.openxmlformats.org/officeDocument/2006/relationships/hyperlink" Target="https://www.nseindia.com/get-quotes/derivatives?symbol=NIFTY&amp;identifier=OPTIDXNIFTY24-02-2026CE25650.00" TargetMode="External"/><Relationship Id="rId18" Type="http://schemas.openxmlformats.org/officeDocument/2006/relationships/hyperlink" Target="https://www.nseindia.com/get-quotes/derivatives?symbol=NIFTY&amp;identifier=OPTIDXNIFTY24-02-2026PE25700.00" TargetMode="External"/><Relationship Id="rId26" Type="http://schemas.openxmlformats.org/officeDocument/2006/relationships/hyperlink" Target="javascript:;" TargetMode="External"/><Relationship Id="rId3" Type="http://schemas.openxmlformats.org/officeDocument/2006/relationships/hyperlink" Target="https://www.nseindia.com/get-quotes/derivatives?symbol=NIFTY&amp;identifier=OPTIDXNIFTY24-02-2026PE25450.00" TargetMode="External"/><Relationship Id="rId21" Type="http://schemas.openxmlformats.org/officeDocument/2006/relationships/hyperlink" Target="https://www.nseindia.com/get-quotes/derivatives?symbol=NIFTY&amp;identifier=OPTIDXNIFTY24-02-2026PE25750.00" TargetMode="External"/><Relationship Id="rId7" Type="http://schemas.openxmlformats.org/officeDocument/2006/relationships/hyperlink" Target="https://www.nseindia.com/get-quotes/derivatives?symbol=NIFTY&amp;identifier=OPTIDXNIFTY24-02-2026CE25550.00" TargetMode="External"/><Relationship Id="rId12" Type="http://schemas.openxmlformats.org/officeDocument/2006/relationships/hyperlink" Target="https://www.nseindia.com/get-quotes/derivatives?symbol=NIFTY&amp;identifier=OPTIDXNIFTY24-02-2026PE25600.00" TargetMode="External"/><Relationship Id="rId17" Type="http://schemas.openxmlformats.org/officeDocument/2006/relationships/hyperlink" Target="javascript:;" TargetMode="External"/><Relationship Id="rId25" Type="http://schemas.openxmlformats.org/officeDocument/2006/relationships/hyperlink" Target="https://www.nseindia.com/get-quotes/derivatives?symbol=NIFTY&amp;identifier=OPTIDXNIFTY24-02-2026CE25850.00" TargetMode="External"/><Relationship Id="rId2" Type="http://schemas.openxmlformats.org/officeDocument/2006/relationships/hyperlink" Target="javascript:;" TargetMode="External"/><Relationship Id="rId16" Type="http://schemas.openxmlformats.org/officeDocument/2006/relationships/hyperlink" Target="https://www.nseindia.com/get-quotes/derivatives?symbol=NIFTY&amp;identifier=OPTIDXNIFTY24-02-2026CE25700.00" TargetMode="External"/><Relationship Id="rId20" Type="http://schemas.openxmlformats.org/officeDocument/2006/relationships/hyperlink" Target="javascript:;" TargetMode="External"/><Relationship Id="rId1" Type="http://schemas.openxmlformats.org/officeDocument/2006/relationships/hyperlink" Target="https://www.nseindia.com/get-quotes/derivatives?symbol=NIFTY&amp;identifier=OPTIDXNIFTY24-02-2026CE25450.00" TargetMode="External"/><Relationship Id="rId6" Type="http://schemas.openxmlformats.org/officeDocument/2006/relationships/hyperlink" Target="https://www.nseindia.com/get-quotes/derivatives?symbol=NIFTY&amp;identifier=OPTIDXNIFTY24-02-2026PE25500.00" TargetMode="External"/><Relationship Id="rId11" Type="http://schemas.openxmlformats.org/officeDocument/2006/relationships/hyperlink" Target="javascript:;" TargetMode="External"/><Relationship Id="rId24" Type="http://schemas.openxmlformats.org/officeDocument/2006/relationships/hyperlink" Target="https://www.nseindia.com/get-quotes/derivatives?symbol=NIFTY&amp;identifier=OPTIDXNIFTY24-02-2026PE25800.00" TargetMode="External"/><Relationship Id="rId5" Type="http://schemas.openxmlformats.org/officeDocument/2006/relationships/hyperlink" Target="javascript:;" TargetMode="External"/><Relationship Id="rId15" Type="http://schemas.openxmlformats.org/officeDocument/2006/relationships/hyperlink" Target="https://www.nseindia.com/get-quotes/derivatives?symbol=NIFTY&amp;identifier=OPTIDXNIFTY24-02-2026PE25650.00" TargetMode="External"/><Relationship Id="rId23" Type="http://schemas.openxmlformats.org/officeDocument/2006/relationships/hyperlink" Target="javascript:;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nseindia.com/get-quotes/derivatives?symbol=NIFTY&amp;identifier=OPTIDXNIFTY24-02-2026CE25600.00" TargetMode="External"/><Relationship Id="rId19" Type="http://schemas.openxmlformats.org/officeDocument/2006/relationships/hyperlink" Target="https://www.nseindia.com/get-quotes/derivatives?symbol=NIFTY&amp;identifier=OPTIDXNIFTY24-02-2026CE25750.00" TargetMode="External"/><Relationship Id="rId4" Type="http://schemas.openxmlformats.org/officeDocument/2006/relationships/hyperlink" Target="https://www.nseindia.com/get-quotes/derivatives?symbol=NIFTY&amp;identifier=OPTIDXNIFTY24-02-2026CE25500.00" TargetMode="External"/><Relationship Id="rId9" Type="http://schemas.openxmlformats.org/officeDocument/2006/relationships/hyperlink" Target="https://www.nseindia.com/get-quotes/derivatives?symbol=NIFTY&amp;identifier=OPTIDXNIFTY24-02-2026PE25550.00" TargetMode="External"/><Relationship Id="rId14" Type="http://schemas.openxmlformats.org/officeDocument/2006/relationships/hyperlink" Target="javascript:;" TargetMode="External"/><Relationship Id="rId22" Type="http://schemas.openxmlformats.org/officeDocument/2006/relationships/hyperlink" Target="https://www.nseindia.com/get-quotes/derivatives?symbol=NIFTY&amp;identifier=OPTIDXNIFTY24-02-2026CE25800.00" TargetMode="External"/><Relationship Id="rId27" Type="http://schemas.openxmlformats.org/officeDocument/2006/relationships/hyperlink" Target="https://www.nseindia.com/get-quotes/derivatives?symbol=NIFTY&amp;identifier=OPTIDXNIFTY24-02-2026PE2585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B235-3260-4907-8907-8A89469E1236}">
  <dimension ref="A1:W13"/>
  <sheetViews>
    <sheetView tabSelected="1" topLeftCell="G1" workbookViewId="0">
      <selection activeCell="U13" sqref="U13"/>
    </sheetView>
  </sheetViews>
  <sheetFormatPr defaultRowHeight="14.4" x14ac:dyDescent="0.3"/>
  <cols>
    <col min="12" max="12" width="9.21875" bestFit="1" customWidth="1"/>
  </cols>
  <sheetData>
    <row r="1" spans="1:23" ht="15" thickBot="1" x14ac:dyDescent="0.35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19"/>
      <c r="M1" s="24" t="s">
        <v>1</v>
      </c>
      <c r="N1" s="24"/>
      <c r="O1" s="24"/>
      <c r="P1" s="24"/>
      <c r="Q1" s="24"/>
      <c r="R1" s="24"/>
      <c r="S1" s="24"/>
      <c r="T1" s="24"/>
      <c r="U1" s="24"/>
      <c r="V1" s="24"/>
      <c r="W1" s="25"/>
    </row>
    <row r="2" spans="1:23" ht="15" thickBot="1" x14ac:dyDescent="0.35">
      <c r="A2" s="20"/>
      <c r="B2" s="17" t="s">
        <v>2</v>
      </c>
      <c r="C2" s="18" t="s">
        <v>3</v>
      </c>
      <c r="D2" s="18" t="s">
        <v>4</v>
      </c>
      <c r="E2" s="18" t="s">
        <v>5</v>
      </c>
      <c r="F2" s="18" t="s">
        <v>6</v>
      </c>
      <c r="G2" s="18" t="s">
        <v>7</v>
      </c>
      <c r="H2" s="18" t="s">
        <v>8</v>
      </c>
      <c r="I2" s="18" t="s">
        <v>9</v>
      </c>
      <c r="J2" s="18" t="s">
        <v>10</v>
      </c>
      <c r="K2" s="18" t="s">
        <v>11</v>
      </c>
      <c r="L2" s="18" t="s">
        <v>12</v>
      </c>
      <c r="M2" s="18" t="s">
        <v>8</v>
      </c>
      <c r="N2" s="18" t="s">
        <v>9</v>
      </c>
      <c r="O2" s="18" t="s">
        <v>10</v>
      </c>
      <c r="P2" s="18" t="s">
        <v>11</v>
      </c>
      <c r="Q2" s="18" t="s">
        <v>7</v>
      </c>
      <c r="R2" s="18" t="s">
        <v>6</v>
      </c>
      <c r="S2" s="18" t="s">
        <v>5</v>
      </c>
      <c r="T2" s="18" t="s">
        <v>4</v>
      </c>
      <c r="U2" s="18" t="s">
        <v>3</v>
      </c>
      <c r="V2" s="18" t="s">
        <v>2</v>
      </c>
      <c r="W2" s="21"/>
    </row>
    <row r="3" spans="1:23" ht="15" thickBot="1" x14ac:dyDescent="0.35">
      <c r="A3" s="8"/>
      <c r="B3" s="9">
        <v>324695</v>
      </c>
      <c r="C3" s="9">
        <v>318625</v>
      </c>
      <c r="D3" s="9">
        <v>27299283</v>
      </c>
      <c r="E3" s="10">
        <v>0.65</v>
      </c>
      <c r="F3" s="11">
        <v>0.05</v>
      </c>
      <c r="G3" s="14">
        <v>-280.60000000000002</v>
      </c>
      <c r="H3" s="9">
        <v>75595</v>
      </c>
      <c r="I3" s="10">
        <v>0.05</v>
      </c>
      <c r="J3" s="10">
        <v>0.1</v>
      </c>
      <c r="K3" s="9">
        <v>482170</v>
      </c>
      <c r="L3" s="13">
        <v>25450</v>
      </c>
      <c r="M3" s="9">
        <v>66365</v>
      </c>
      <c r="N3" s="10">
        <v>25.25</v>
      </c>
      <c r="O3" s="10">
        <v>25.3</v>
      </c>
      <c r="P3" s="9">
        <v>3900</v>
      </c>
      <c r="Q3" s="12">
        <v>1.9</v>
      </c>
      <c r="R3" s="11">
        <v>25.25</v>
      </c>
      <c r="S3" s="10">
        <v>2.68</v>
      </c>
      <c r="T3" s="9">
        <v>22325383</v>
      </c>
      <c r="U3" s="9">
        <v>55677</v>
      </c>
      <c r="V3" s="9">
        <v>115088</v>
      </c>
      <c r="W3" s="15"/>
    </row>
    <row r="4" spans="1:23" ht="15" thickBot="1" x14ac:dyDescent="0.35">
      <c r="A4" s="16"/>
      <c r="B4" s="3">
        <v>272118</v>
      </c>
      <c r="C4" s="3">
        <v>216865</v>
      </c>
      <c r="D4" s="3">
        <v>27783394</v>
      </c>
      <c r="E4" s="1">
        <v>2.33</v>
      </c>
      <c r="F4" s="4">
        <v>0.15</v>
      </c>
      <c r="G4" s="7">
        <v>-236.15</v>
      </c>
      <c r="H4" s="3">
        <v>77480</v>
      </c>
      <c r="I4" s="1">
        <v>0.15</v>
      </c>
      <c r="J4" s="1">
        <v>0.2</v>
      </c>
      <c r="K4" s="3">
        <v>48035</v>
      </c>
      <c r="L4" s="6">
        <v>25500</v>
      </c>
      <c r="M4" s="3">
        <v>2275</v>
      </c>
      <c r="N4" s="1">
        <v>74.900000000000006</v>
      </c>
      <c r="O4" s="1">
        <v>75.2</v>
      </c>
      <c r="P4" s="3">
        <v>3965</v>
      </c>
      <c r="Q4" s="5">
        <v>46</v>
      </c>
      <c r="R4" s="4">
        <v>75</v>
      </c>
      <c r="S4" s="1">
        <v>5.41</v>
      </c>
      <c r="T4" s="3">
        <v>20145591</v>
      </c>
      <c r="U4" s="3">
        <v>-108498</v>
      </c>
      <c r="V4" s="3">
        <v>74821</v>
      </c>
      <c r="W4" s="2"/>
    </row>
    <row r="5" spans="1:23" ht="15" thickBot="1" x14ac:dyDescent="0.35">
      <c r="A5" s="16"/>
      <c r="B5" s="3">
        <v>107665</v>
      </c>
      <c r="C5" s="3">
        <v>92975</v>
      </c>
      <c r="D5" s="3">
        <v>15550764</v>
      </c>
      <c r="E5" s="1">
        <v>3.57</v>
      </c>
      <c r="F5" s="4">
        <v>0.1</v>
      </c>
      <c r="G5" s="7">
        <v>-193.65</v>
      </c>
      <c r="H5" s="3">
        <v>1271205</v>
      </c>
      <c r="I5" s="1">
        <v>0.05</v>
      </c>
      <c r="J5" s="1">
        <v>0.1</v>
      </c>
      <c r="K5" s="3">
        <v>130585</v>
      </c>
      <c r="L5" s="6">
        <v>25550</v>
      </c>
      <c r="M5" s="1">
        <v>195</v>
      </c>
      <c r="N5" s="1">
        <v>124.75</v>
      </c>
      <c r="O5" s="1">
        <v>125.05</v>
      </c>
      <c r="P5" s="3">
        <v>1040</v>
      </c>
      <c r="Q5" s="5">
        <v>88.15</v>
      </c>
      <c r="R5" s="4">
        <v>124.7</v>
      </c>
      <c r="S5" s="1">
        <v>7.7</v>
      </c>
      <c r="T5" s="3">
        <v>8002625</v>
      </c>
      <c r="U5" s="3">
        <v>-49396</v>
      </c>
      <c r="V5" s="3">
        <v>23024</v>
      </c>
      <c r="W5" s="2"/>
    </row>
    <row r="6" spans="1:23" ht="15" thickBot="1" x14ac:dyDescent="0.35">
      <c r="A6" s="16"/>
      <c r="B6" s="3">
        <v>160847</v>
      </c>
      <c r="C6" s="3">
        <v>94617</v>
      </c>
      <c r="D6" s="3">
        <v>14342343</v>
      </c>
      <c r="E6" s="1">
        <v>4.54</v>
      </c>
      <c r="F6" s="4">
        <v>0.05</v>
      </c>
      <c r="G6" s="7">
        <v>-154.25</v>
      </c>
      <c r="H6" s="3">
        <v>1467505</v>
      </c>
      <c r="I6" s="1">
        <v>0.05</v>
      </c>
      <c r="J6" s="1">
        <v>0.1</v>
      </c>
      <c r="K6" s="3">
        <v>25610</v>
      </c>
      <c r="L6" s="6">
        <v>25600</v>
      </c>
      <c r="M6" s="1">
        <v>65</v>
      </c>
      <c r="N6" s="1">
        <v>174.85</v>
      </c>
      <c r="O6" s="1">
        <v>175.3</v>
      </c>
      <c r="P6" s="1">
        <v>650</v>
      </c>
      <c r="Q6" s="5">
        <v>128.35</v>
      </c>
      <c r="R6" s="4">
        <v>175.3</v>
      </c>
      <c r="S6" s="1">
        <v>10.15</v>
      </c>
      <c r="T6" s="3">
        <v>6187036</v>
      </c>
      <c r="U6" s="3">
        <v>-102059</v>
      </c>
      <c r="V6" s="3">
        <v>41531</v>
      </c>
      <c r="W6" s="2"/>
    </row>
    <row r="7" spans="1:23" ht="15" thickBot="1" x14ac:dyDescent="0.35">
      <c r="A7" s="16"/>
      <c r="B7" s="3">
        <v>88519</v>
      </c>
      <c r="C7" s="3">
        <v>33005</v>
      </c>
      <c r="D7" s="3">
        <v>7713031</v>
      </c>
      <c r="E7" s="1">
        <v>5.74</v>
      </c>
      <c r="F7" s="4">
        <v>0.05</v>
      </c>
      <c r="G7" s="7">
        <v>-119.3</v>
      </c>
      <c r="H7" s="1" t="s">
        <v>14</v>
      </c>
      <c r="I7" s="1" t="s">
        <v>14</v>
      </c>
      <c r="J7" s="1">
        <v>0.05</v>
      </c>
      <c r="K7" s="3">
        <v>341315</v>
      </c>
      <c r="L7" s="6">
        <v>25650</v>
      </c>
      <c r="M7" s="3">
        <v>1105</v>
      </c>
      <c r="N7" s="1">
        <v>224.65</v>
      </c>
      <c r="O7" s="1">
        <v>225.3</v>
      </c>
      <c r="P7" s="1">
        <v>585</v>
      </c>
      <c r="Q7" s="5">
        <v>162.55000000000001</v>
      </c>
      <c r="R7" s="4">
        <v>224.65</v>
      </c>
      <c r="S7" s="1">
        <v>11.96</v>
      </c>
      <c r="T7" s="3">
        <v>1956550</v>
      </c>
      <c r="U7" s="3">
        <v>-60030</v>
      </c>
      <c r="V7" s="3">
        <v>16226</v>
      </c>
      <c r="W7" s="2"/>
    </row>
    <row r="8" spans="1:23" ht="15" thickBot="1" x14ac:dyDescent="0.35">
      <c r="A8" s="16"/>
      <c r="B8" s="3">
        <v>133614</v>
      </c>
      <c r="C8" s="3">
        <v>-31074</v>
      </c>
      <c r="D8" s="3">
        <v>7024721</v>
      </c>
      <c r="E8" s="1">
        <v>6.91</v>
      </c>
      <c r="F8" s="4">
        <v>0.05</v>
      </c>
      <c r="G8" s="7">
        <v>-89.65</v>
      </c>
      <c r="H8" s="1" t="s">
        <v>14</v>
      </c>
      <c r="I8" s="1" t="s">
        <v>14</v>
      </c>
      <c r="J8" s="1">
        <v>0.05</v>
      </c>
      <c r="K8" s="3">
        <v>130715</v>
      </c>
      <c r="L8" s="6">
        <v>25700</v>
      </c>
      <c r="M8" s="1">
        <v>455</v>
      </c>
      <c r="N8" s="1">
        <v>274.60000000000002</v>
      </c>
      <c r="O8" s="1">
        <v>275.10000000000002</v>
      </c>
      <c r="P8" s="1">
        <v>65</v>
      </c>
      <c r="Q8" s="5">
        <v>193</v>
      </c>
      <c r="R8" s="4">
        <v>274.60000000000002</v>
      </c>
      <c r="S8" s="1">
        <v>13.95</v>
      </c>
      <c r="T8" s="3">
        <v>1698140</v>
      </c>
      <c r="U8" s="3">
        <v>-110222</v>
      </c>
      <c r="V8" s="3">
        <v>30862</v>
      </c>
      <c r="W8" s="2"/>
    </row>
    <row r="9" spans="1:23" ht="15" thickBot="1" x14ac:dyDescent="0.35">
      <c r="A9" s="16"/>
      <c r="B9" s="3">
        <v>65266</v>
      </c>
      <c r="C9" s="3">
        <v>-58934</v>
      </c>
      <c r="D9" s="3">
        <v>4328904</v>
      </c>
      <c r="E9" s="1">
        <v>8.07</v>
      </c>
      <c r="F9" s="4">
        <v>0.05</v>
      </c>
      <c r="G9" s="7">
        <v>-65.900000000000006</v>
      </c>
      <c r="H9" s="3">
        <v>263120</v>
      </c>
      <c r="I9" s="1">
        <v>0.05</v>
      </c>
      <c r="J9" s="1">
        <v>0.1</v>
      </c>
      <c r="K9" s="3">
        <v>107380</v>
      </c>
      <c r="L9" s="6">
        <v>25750</v>
      </c>
      <c r="M9" s="3">
        <v>1170</v>
      </c>
      <c r="N9" s="1">
        <v>325</v>
      </c>
      <c r="O9" s="1">
        <v>325.25</v>
      </c>
      <c r="P9" s="1">
        <v>65</v>
      </c>
      <c r="Q9" s="5">
        <v>217.9</v>
      </c>
      <c r="R9" s="4">
        <v>325</v>
      </c>
      <c r="S9" s="1">
        <v>16.12</v>
      </c>
      <c r="T9" s="3">
        <v>380121</v>
      </c>
      <c r="U9" s="3">
        <v>-29505</v>
      </c>
      <c r="V9" s="3">
        <v>7683</v>
      </c>
      <c r="W9" s="2"/>
    </row>
    <row r="10" spans="1:23" ht="15" thickBot="1" x14ac:dyDescent="0.35">
      <c r="A10" s="16"/>
      <c r="B10" s="3">
        <v>109336</v>
      </c>
      <c r="C10" s="3">
        <v>-87323</v>
      </c>
      <c r="D10" s="3">
        <v>4704434</v>
      </c>
      <c r="E10" s="1">
        <v>9.2100000000000009</v>
      </c>
      <c r="F10" s="4">
        <v>0.05</v>
      </c>
      <c r="G10" s="7">
        <v>-46.1</v>
      </c>
      <c r="H10" s="3">
        <v>3185</v>
      </c>
      <c r="I10" s="1">
        <v>0.05</v>
      </c>
      <c r="J10" s="1">
        <v>0.1</v>
      </c>
      <c r="K10" s="3">
        <v>96395</v>
      </c>
      <c r="L10" s="6">
        <v>25800</v>
      </c>
      <c r="M10" s="1">
        <v>455</v>
      </c>
      <c r="N10" s="1">
        <v>374.45</v>
      </c>
      <c r="O10" s="1">
        <v>375.9</v>
      </c>
      <c r="P10" s="1">
        <v>260</v>
      </c>
      <c r="Q10" s="5">
        <v>237.3</v>
      </c>
      <c r="R10" s="4">
        <v>375.85</v>
      </c>
      <c r="S10" s="1">
        <v>18.53</v>
      </c>
      <c r="T10" s="3">
        <v>403599</v>
      </c>
      <c r="U10" s="3">
        <v>-26160</v>
      </c>
      <c r="V10" s="3">
        <v>21173</v>
      </c>
      <c r="W10" s="2"/>
    </row>
    <row r="11" spans="1:23" ht="15" thickBot="1" x14ac:dyDescent="0.35">
      <c r="A11" s="16"/>
      <c r="B11" s="3">
        <v>49293</v>
      </c>
      <c r="C11" s="3">
        <v>-36048</v>
      </c>
      <c r="D11" s="3">
        <v>2108830</v>
      </c>
      <c r="E11" s="1">
        <v>10.34</v>
      </c>
      <c r="F11" s="4">
        <v>0.05</v>
      </c>
      <c r="G11" s="7">
        <v>-32.200000000000003</v>
      </c>
      <c r="H11" s="1" t="s">
        <v>14</v>
      </c>
      <c r="I11" s="1" t="s">
        <v>14</v>
      </c>
      <c r="J11" s="1">
        <v>0.05</v>
      </c>
      <c r="K11" s="3">
        <v>46020</v>
      </c>
      <c r="L11" s="6">
        <v>25850</v>
      </c>
      <c r="M11" s="3">
        <v>1625</v>
      </c>
      <c r="N11" s="1">
        <v>425</v>
      </c>
      <c r="O11" s="1">
        <v>426</v>
      </c>
      <c r="P11" s="1">
        <v>65</v>
      </c>
      <c r="Q11" s="5">
        <v>251.1</v>
      </c>
      <c r="R11" s="4">
        <v>426.05</v>
      </c>
      <c r="S11" s="1">
        <v>20.56</v>
      </c>
      <c r="T11" s="3">
        <v>50073</v>
      </c>
      <c r="U11" s="3">
        <v>-4846</v>
      </c>
      <c r="V11" s="3">
        <v>3645</v>
      </c>
      <c r="W11" s="21"/>
    </row>
    <row r="13" spans="1:23" x14ac:dyDescent="0.3">
      <c r="C13">
        <f>SUM(C3:C11)</f>
        <v>542708</v>
      </c>
      <c r="K13" t="s">
        <v>13</v>
      </c>
      <c r="L13" s="26">
        <f>U13/C13</f>
        <v>-0.80160786279177754</v>
      </c>
      <c r="U13" s="22">
        <f>SUM(U3:U11)</f>
        <v>-435039</v>
      </c>
    </row>
  </sheetData>
  <mergeCells count="2">
    <mergeCell ref="A1:K1"/>
    <mergeCell ref="M1:W1"/>
  </mergeCells>
  <hyperlinks>
    <hyperlink ref="F3" r:id="rId1" display="https://www.nseindia.com/get-quotes/derivatives?symbol=NIFTY&amp;identifier=OPTIDXNIFTY24-02-2026CE25450.00" xr:uid="{4F0FEF58-87E6-43A0-8BE7-973F77E8DD82}"/>
    <hyperlink ref="L3" r:id="rId2" display="javascript:;" xr:uid="{6E8FF13D-132E-4508-92EF-CD4BD3FDB334}"/>
    <hyperlink ref="R3" r:id="rId3" display="https://www.nseindia.com/get-quotes/derivatives?symbol=NIFTY&amp;identifier=OPTIDXNIFTY24-02-2026PE25450.00" xr:uid="{D239621E-D277-443F-9CCA-E48853992680}"/>
    <hyperlink ref="F4" r:id="rId4" display="https://www.nseindia.com/get-quotes/derivatives?symbol=NIFTY&amp;identifier=OPTIDXNIFTY24-02-2026CE25500.00" xr:uid="{3DBBADAB-C978-423E-B9CE-267A176200C5}"/>
    <hyperlink ref="L4" r:id="rId5" display="javascript:;" xr:uid="{45E56D18-1EBE-420C-818F-EDC16E0B04BC}"/>
    <hyperlink ref="R4" r:id="rId6" display="https://www.nseindia.com/get-quotes/derivatives?symbol=NIFTY&amp;identifier=OPTIDXNIFTY24-02-2026PE25500.00" xr:uid="{07605387-CA1D-49EF-9035-1722D3D9510D}"/>
    <hyperlink ref="F5" r:id="rId7" display="https://www.nseindia.com/get-quotes/derivatives?symbol=NIFTY&amp;identifier=OPTIDXNIFTY24-02-2026CE25550.00" xr:uid="{9BB5ABD8-A6FA-4DA5-A59D-B038631C59F9}"/>
    <hyperlink ref="L5" r:id="rId8" display="javascript:;" xr:uid="{C010EA1D-A17E-4A7D-88E9-FD86C9D1E9F8}"/>
    <hyperlink ref="R5" r:id="rId9" display="https://www.nseindia.com/get-quotes/derivatives?symbol=NIFTY&amp;identifier=OPTIDXNIFTY24-02-2026PE25550.00" xr:uid="{3568434C-1D8A-45A2-8661-A5A5531625DA}"/>
    <hyperlink ref="F6" r:id="rId10" display="https://www.nseindia.com/get-quotes/derivatives?symbol=NIFTY&amp;identifier=OPTIDXNIFTY24-02-2026CE25600.00" xr:uid="{B3B35F6D-BB27-40F0-B3BD-46360C30D74E}"/>
    <hyperlink ref="L6" r:id="rId11" display="javascript:;" xr:uid="{751DF7BD-2C7F-4193-8CB6-0E8A6F7E568B}"/>
    <hyperlink ref="R6" r:id="rId12" display="https://www.nseindia.com/get-quotes/derivatives?symbol=NIFTY&amp;identifier=OPTIDXNIFTY24-02-2026PE25600.00" xr:uid="{FB2B8466-13A9-4F03-B152-C1F085194317}"/>
    <hyperlink ref="F7" r:id="rId13" display="https://www.nseindia.com/get-quotes/derivatives?symbol=NIFTY&amp;identifier=OPTIDXNIFTY24-02-2026CE25650.00" xr:uid="{D4134F64-5707-447B-8844-29E0400AEEF6}"/>
    <hyperlink ref="L7" r:id="rId14" display="javascript:;" xr:uid="{8B073AE3-7A65-47E0-B808-4B3A0985B737}"/>
    <hyperlink ref="R7" r:id="rId15" display="https://www.nseindia.com/get-quotes/derivatives?symbol=NIFTY&amp;identifier=OPTIDXNIFTY24-02-2026PE25650.00" xr:uid="{728642D3-A3FC-4717-88BE-9A606901C1D6}"/>
    <hyperlink ref="F8" r:id="rId16" display="https://www.nseindia.com/get-quotes/derivatives?symbol=NIFTY&amp;identifier=OPTIDXNIFTY24-02-2026CE25700.00" xr:uid="{E2782570-7D12-4194-8601-FC880EA826E6}"/>
    <hyperlink ref="L8" r:id="rId17" display="javascript:;" xr:uid="{FB8A6C0D-B993-4218-9FFE-EEBAF64685A2}"/>
    <hyperlink ref="R8" r:id="rId18" display="https://www.nseindia.com/get-quotes/derivatives?symbol=NIFTY&amp;identifier=OPTIDXNIFTY24-02-2026PE25700.00" xr:uid="{B06246FE-A8E2-44FD-A5F5-B0C5418EE263}"/>
    <hyperlink ref="F9" r:id="rId19" display="https://www.nseindia.com/get-quotes/derivatives?symbol=NIFTY&amp;identifier=OPTIDXNIFTY24-02-2026CE25750.00" xr:uid="{639EE2AA-81BF-4FDB-8B53-E8AA51CCCC9F}"/>
    <hyperlink ref="L9" r:id="rId20" display="javascript:;" xr:uid="{611EA3E8-CC07-46B3-A2C8-52060BA1AD89}"/>
    <hyperlink ref="R9" r:id="rId21" display="https://www.nseindia.com/get-quotes/derivatives?symbol=NIFTY&amp;identifier=OPTIDXNIFTY24-02-2026PE25750.00" xr:uid="{9D175F2B-402D-4051-873F-E111D5BC1CAF}"/>
    <hyperlink ref="F10" r:id="rId22" display="https://www.nseindia.com/get-quotes/derivatives?symbol=NIFTY&amp;identifier=OPTIDXNIFTY24-02-2026CE25800.00" xr:uid="{EE1A7DD8-3E4C-4B9E-964E-A5D4B35F741A}"/>
    <hyperlink ref="L10" r:id="rId23" display="javascript:;" xr:uid="{4711AB8E-068D-4FBA-9FAE-9DE658768D9C}"/>
    <hyperlink ref="R10" r:id="rId24" display="https://www.nseindia.com/get-quotes/derivatives?symbol=NIFTY&amp;identifier=OPTIDXNIFTY24-02-2026PE25800.00" xr:uid="{38FBDEF2-EBA2-4A5C-B83D-1E8DD2A377CC}"/>
    <hyperlink ref="F11" r:id="rId25" display="https://www.nseindia.com/get-quotes/derivatives?symbol=NIFTY&amp;identifier=OPTIDXNIFTY24-02-2026CE25850.00" xr:uid="{42A57FC3-B61B-47A9-8DB0-BE43BAF76470}"/>
    <hyperlink ref="L11" r:id="rId26" display="javascript:;" xr:uid="{825E0A7B-6D61-4867-AD5C-7CDBD1A70689}"/>
    <hyperlink ref="R11" r:id="rId27" display="https://www.nseindia.com/get-quotes/derivatives?symbol=NIFTY&amp;identifier=OPTIDXNIFTY24-02-2026PE25850.00" xr:uid="{E04C35E3-B752-404D-98FC-F2DB543E2577}"/>
  </hyperlinks>
  <pageMargins left="0.7" right="0.7" top="0.75" bottom="0.75" header="0.3" footer="0.3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abhay singh</dc:creator>
  <cp:lastModifiedBy>abhay singh</cp:lastModifiedBy>
  <dcterms:created xsi:type="dcterms:W3CDTF">2026-02-20T10:06:10Z</dcterms:created>
  <dcterms:modified xsi:type="dcterms:W3CDTF">2026-02-24T19:11:04Z</dcterms:modified>
</cp:coreProperties>
</file>