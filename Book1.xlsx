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c3852497b933aa/Desktop/script/"/>
    </mc:Choice>
  </mc:AlternateContent>
  <xr:revisionPtr revIDLastSave="9" documentId="8_{C088CB66-5C15-49CE-939F-13FEB240F299}" xr6:coauthVersionLast="47" xr6:coauthVersionMax="47" xr10:uidLastSave="{D37DFFB6-F5E1-42B3-A60F-D136216541D3}"/>
  <bookViews>
    <workbookView xWindow="-108" yWindow="-108" windowWidth="23256" windowHeight="12456" xr2:uid="{29835794-3066-4408-A249-EEE67CAA5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1" l="1"/>
  <c r="C13" i="1"/>
  <c r="L13" i="1" l="1"/>
</calcChain>
</file>

<file path=xl/sharedStrings.xml><?xml version="1.0" encoding="utf-8"?>
<sst xmlns="http://schemas.openxmlformats.org/spreadsheetml/2006/main" count="24" uniqueCount="14">
  <si>
    <t>CALLS</t>
  </si>
  <si>
    <t>PUTS</t>
  </si>
  <si>
    <t>OI</t>
  </si>
  <si>
    <t>Chng in OI</t>
  </si>
  <si>
    <t>Volume</t>
  </si>
  <si>
    <t>IV</t>
  </si>
  <si>
    <t>LTP</t>
  </si>
  <si>
    <t>Chng</t>
  </si>
  <si>
    <t>Bid Qty</t>
  </si>
  <si>
    <t>Bid</t>
  </si>
  <si>
    <t>Ask</t>
  </si>
  <si>
    <t>Ask Qty</t>
  </si>
  <si>
    <t>Strike</t>
  </si>
  <si>
    <t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</si>
</sst>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u/>
      <sz val="8"/>
      <color rgb="FF295C89"/>
      <name val="Arial"/>
      <family val="2"/>
    </font>
    <font>
      <sz val="8"/>
      <color rgb="FFCB0505"/>
      <name val="Arial"/>
      <family val="2"/>
    </font>
    <font>
      <u/>
      <sz val="11"/>
      <color theme="10"/>
      <name val="Calibri"/>
      <family val="2"/>
      <scheme val="minor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2D7D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E3E3E3"/>
      </right>
      <top/>
      <bottom style="medium">
        <color rgb="FFE3E3E3"/>
      </bottom>
      <diagonal/>
    </border>
    <border>
      <left/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/>
      <right/>
      <top style="medium">
        <color rgb="FFE3E3E3"/>
      </top>
      <bottom style="medium">
        <color rgb="FFE3E3E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4" fillId="2" borderId="1" xfId="1" applyFill="1" applyBorder="1" applyAlignment="1">
      <alignment horizontal="center" vertical="top" wrapText="1"/>
    </xf>
    <xf numFmtId="4" fontId="4" fillId="2" borderId="1" xfId="1" applyNumberForma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3" fontId="1" fillId="2" borderId="4" xfId="0" applyNumberFormat="1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2" borderId="4" xfId="1" applyFill="1" applyBorder="1" applyAlignment="1">
      <alignment horizontal="center" vertical="top" wrapText="1"/>
    </xf>
    <xf numFmtId="4" fontId="4" fillId="2" borderId="4" xfId="1" applyNumberForma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2" borderId="1" xfId="0" applyFill="1" applyBorder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javascript: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137160</xdr:colOff>
      <xdr:row>0</xdr:row>
      <xdr:rowOff>121920</xdr:rowOff>
    </xdr:to>
    <xdr:pic>
      <xdr:nvPicPr>
        <xdr:cNvPr id="2" name="Picture 1" descr="Calls chart for row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88753-A6BA-6AEA-98D3-95CE242C1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22</xdr:col>
      <xdr:colOff>137160</xdr:colOff>
      <xdr:row>0</xdr:row>
      <xdr:rowOff>121920</xdr:rowOff>
    </xdr:to>
    <xdr:pic>
      <xdr:nvPicPr>
        <xdr:cNvPr id="3" name="Picture 2" descr="Puts chart for row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F9DFD-7C61-2E3C-ABE2-6702357F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137160</xdr:colOff>
      <xdr:row>1</xdr:row>
      <xdr:rowOff>121920</xdr:rowOff>
    </xdr:to>
    <xdr:pic>
      <xdr:nvPicPr>
        <xdr:cNvPr id="4" name="Picture 3" descr="Calls chart for row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A0E513-E22B-6028-3642-4E4B2B57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137160</xdr:colOff>
      <xdr:row>1</xdr:row>
      <xdr:rowOff>121920</xdr:rowOff>
    </xdr:to>
    <xdr:pic>
      <xdr:nvPicPr>
        <xdr:cNvPr id="5" name="Picture 4" descr="Puts chart for row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4BFFC3-2BC2-82EC-570B-41942D21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90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6" name="Picture 5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61D6F-3641-7E5A-0980-132334A21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7" name="Picture 6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CA76C4-5E23-5496-F58A-D37AF320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8" name="Picture 7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F3158-6A65-FFFC-7ABE-0DC9E930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9" name="Picture 8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0E558-D357-BA60-07F1-CDFF8F82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10" name="Picture 9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6279D-ABEC-51D3-5DB9-76A53CF4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11" name="Picture 10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D76FC1-F005-93CC-4916-87546575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12" name="Picture 11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79A40-159F-2B2F-6A48-85C54E51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13" name="Picture 12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EB1C2F-8766-282F-8C59-471351874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14" name="Picture 13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7F35A-E6DB-8DBF-F5B2-AA8B9E82D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15" name="Picture 14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83871-D777-9C0F-3F60-A90ED1AAC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6" name="Picture 15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72B09-2825-6C6F-1A02-F3378AA4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7" name="Picture 16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29766-8B39-A815-C20F-1CCA87F1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8" name="Picture 17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62EB31-3D74-0C28-206F-81A93997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9" name="Picture 18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8BBFE-2A90-C321-FF7A-33605213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0" name="Picture 19" descr="Calls chart for row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2B6047-9048-3902-B3B3-886F458E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1" name="Picture 20" descr="Puts chart for row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1D3CB-EFBD-AFC9-FF35-5F123F59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2" name="Picture 21" descr="Calls chart for row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AD7379-1CF4-C32D-30D2-6D5E286C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3" name="Picture 22" descr="Puts chart for row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D9BB2-5994-BD7D-841B-577AEE75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4" name="Picture 23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BC72F-2A17-F87A-18BB-0A43F916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5" name="Picture 24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476E55-C615-DAC9-4717-25C77224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6" name="Picture 25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31CAF-FCF9-F732-3F61-A793BD1F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7" name="Picture 26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0C8924-62E0-21B9-D88C-7B668FDE6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8" name="Picture 27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30263-2913-1266-F70A-51BF9BC01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9" name="Picture 28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8888F-E91B-213B-FBFA-1AFC45FF3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30" name="Picture 29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FFAFA-C451-2249-205C-1563F30D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31" name="Picture 30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995C60-72B3-C501-C742-23D14D80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32" name="Picture 31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65B07C-CF90-CF34-096C-7197289AE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33" name="Picture 32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40AC29-268C-AFF7-E516-261FCE66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34" name="Picture 33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C27D89-E65A-FAF5-82A9-107E41FD3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35" name="Picture 34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B856CF-76CD-0709-0476-2795B70D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36" name="Picture 35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7A8D0-58C3-AFE5-0585-2751BAB50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37" name="Picture 36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56D21C-5764-E955-3CDA-00F523E9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38" name="Picture 37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C60BE7-A223-832E-FA39-C25712E0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39" name="Picture 38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32F076-E7E0-0BD0-EBDA-9CC0A8713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40" name="Picture 39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6C1B3-9945-3945-F2DA-0D74EDD5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41" name="Picture 40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04732A-2B71-9AE8-2025-3223A8007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42" name="Picture 41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9947D-4E8B-D509-4586-DA4E3E62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43" name="Picture 42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B86B5-73CE-1505-C759-C9BA5BA72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44" name="Picture 43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C5DBD-705E-CD1B-C052-6B7E1FE10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45" name="Picture 44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8D93E-7D45-6E6E-E8E1-F71BBE39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46" name="Picture 45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BE8E9-3EE1-61B2-7D1D-5369230A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7" name="Picture 46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A268B5-706D-B1A6-11CB-A3DED57A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8" name="Picture 47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56EA5-054B-880C-6404-2C12A0988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9" name="Picture 48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1AD4B5-C449-BADA-BE02-5066F435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50" name="Picture 49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65336-B4AD-0645-DD27-3AF02285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51" name="Picture 50" descr="Calls chart for row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2BCA4-F595-87F4-D74F-D5E17C18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52" name="Picture 51" descr="Puts chart for row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4D850-2DC8-A01C-EC76-C5984DCB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53" name="Picture 52" descr="Calls chart for row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FC40F6-AC44-B468-3BD3-20E82E1EA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54" name="Picture 53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D670F-4B6C-8B77-D1CC-49FFE06A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55" name="Picture 54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400860-0534-5C22-CD38-FA1BE94CF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56" name="Picture 55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7B234-E12E-1C59-B3FA-801380C7E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57" name="Picture 56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59DA2-B78B-8AE8-CF17-816D97EE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58" name="Picture 57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D474B-DD0B-E1DA-B6E0-FC1C2759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59" name="Picture 58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B6B74-EAEF-3662-E722-975B68AD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60" name="Picture 59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8379D-2F05-3490-E741-1846D417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61" name="Picture 60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BB846-4CE5-E6A0-A03C-C4319F31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62" name="Picture 61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4D893-F319-C329-9726-BF0402E0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63" name="Picture 62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30048-88EA-4FCF-E10E-49352F62B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64" name="Picture 63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B93EA-3548-2C7B-3421-BF828CCC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65" name="Picture 64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409EE-203B-8AAB-B0BE-473308D93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66" name="Picture 65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258E8B-5E1D-5CFD-6CE5-3D0E9256A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67" name="Picture 66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5F91A-6026-A724-0B32-F463CA51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68" name="Picture 67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7B54A-F0D6-27E2-10DB-DEDB7A68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69" name="Picture 68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E36C4-0249-F0FE-09EE-98768621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70" name="Picture 69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609E9E-E9E8-47C1-CB05-7A1D6A165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71" name="Picture 70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A31BF-3196-7000-043C-1B2BAEA2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72" name="Picture 71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1AC77-EC88-6AF1-F30C-4D6059B0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73" name="Picture 72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7AEDC-4E99-0DC4-C317-F7E02590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74" name="Picture 73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E566E-C005-29DB-84FA-A27CCE45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75" name="Picture 74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E9B2D-5A62-73E6-518A-847D1688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76" name="Picture 75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A4385-8BEF-61FD-A8E6-E040D9A6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77" name="Picture 76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628AF-554F-2952-EA2E-7D17E4DC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78" name="Picture 77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130E0-AB8A-5767-5976-D0B518B51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79" name="Picture 78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75D14-77C0-E927-AEE1-CEB4A3F5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80" name="Picture 79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0DC27-EAB2-9ED9-96C8-E8E5D4F9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81" name="Picture 80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E03CA-D042-1F8A-E70C-14B67A72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82" name="Picture 81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15F463-17F8-D674-BB28-9277E585A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83" name="Picture 82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2AC3D-D408-620F-F8B4-488AB723C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84" name="Picture 83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BAFB6-1793-371F-84AA-794B79BC1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85" name="Picture 84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860F3-E8C1-A852-5989-8D8F417D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86" name="Picture 85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64551-6FE4-03D3-AF31-ECDB51D9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87" name="Picture 86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ACC9EA-53EA-A6A4-EDA4-944D3736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88" name="Picture 87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C4916-C05E-4577-45D7-3BB232DB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89" name="Picture 88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E366C-F8BA-016C-40DF-DBFF57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406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90" name="Picture 89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8E793A-37C1-FC48-E348-6FEB9F17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91" name="Picture 90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B9023-AB9E-FF37-D096-62D6437AB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92" name="Picture 91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ACC2FE-B1B1-112E-D34B-8AEB1AFFA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93" name="Picture 92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06335-3A65-C6DD-2BF6-0F048FE5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94" name="Picture 93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6EE10B-BEBA-08D1-671A-207A8D8E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95" name="Picture 94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3D3C8E-0F4B-9001-000B-7EBE1E96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96" name="Picture 95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1F3EB-499C-6D67-DDA1-5719938AC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97" name="Picture 96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71E96-B744-31A8-78F5-3EC3DE2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98" name="Picture 97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0EA67D-CB7C-ABC7-73E5-9B88CFDF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99" name="Picture 98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D6AF8-29DE-349D-BBCC-6F732540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00" name="Picture 99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234F0-33AE-AFC4-8116-39CB067A6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01" name="Picture 100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436628-A00F-C26B-F7F5-8E6712321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02" name="Picture 101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4C68B4-CA6E-C4AE-9BCC-7B3935597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03" name="Picture 102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0A6E2-89DC-5A59-46D2-B39C370C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104" name="Picture 103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BB3F08-8E31-9BDD-6203-D4E4645AF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105" name="Picture 104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92799-9A16-D879-6571-AA6D082B9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106" name="Picture 105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21F292-E016-0936-10C0-FB0D2841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107" name="Picture 106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204F23-7061-0858-4C69-7C4E00925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108" name="Picture 107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DFB417-DDD3-B40E-51FA-E444770E3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109" name="Picture 108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2EFAD-AEE3-4E60-6265-9AF34E18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110" name="Picture 109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6A714-8A5C-04A7-D7B9-3416F935A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111" name="Picture 110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69284B-3F41-444C-2857-D1615499C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112" name="Picture 111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DF99B-4F52-CE9E-DD3F-406634BB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113" name="Picture 112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C68035-399B-ADA1-BF55-51A48C5A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114" name="Picture 113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3640C-FB6B-6910-2EC5-BF462974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115" name="Picture 114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4154A-8CB5-E79D-3224-994F82546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116" name="Picture 115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56752-69F6-DFF4-9811-64085F48D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117" name="Picture 116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50C3D-924D-9F00-76CA-F58FEA5D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18" name="Picture 117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DDEAD7-F61F-0F94-DF9A-7BC6C575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19" name="Picture 118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7D711-720B-607B-EDC5-A2A1843D5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20" name="Picture 119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24E14F-4D49-9FCA-99D5-BB5EF8A4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21" name="Picture 120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2B288-EA3A-3C70-40AE-B87976B36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122" name="Picture 121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D623C9-BA6E-2541-EC60-D5D2BF90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123" name="Picture 122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A9B7F7-9070-AF3D-B11A-1B567167D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124" name="Picture 123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2BBEDA-453D-5A71-D04D-C529913B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125" name="Picture 124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ECC647-71F5-71AE-CF5A-61471DA1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126" name="Picture 125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9B43E6-0932-4F2C-3CEA-D94303B4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127" name="Picture 126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69AF4-7639-3BEE-E141-4EFA0FD33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128" name="Picture 127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CBE56-BD7B-5C37-1AF7-75384D9A1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129" name="Picture 128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C08A4-D44B-00BF-FCEE-59AAD006B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130" name="Picture 129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19BDC-D686-5650-DBE3-07C2F6C5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131" name="Picture 130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41012-CA6D-2393-43E3-E254163A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132" name="Picture 131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0C1E2E-A6BC-542F-4681-80542760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133" name="Picture 132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5544C-9596-DE1A-D489-ADEA0C36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134" name="Picture 133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FC1B1-D73E-B1CE-1FBE-EDDF0290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135" name="Picture 134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48D537-2A90-8C4F-03BE-37444364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36" name="Picture 135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AFC63-552E-526E-3121-2BBD7E06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37" name="Picture 136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E96DC-1D63-5348-4AF0-3DCC484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38" name="Picture 137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B46ED-FD1A-70A3-464D-006A4EA7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39" name="Picture 138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D8A2FB-6364-7219-4F03-15F216CB6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140" name="Picture 139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42C48-7DF2-F6FE-E482-886AE13F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141" name="Picture 140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26901-03E9-E084-76BD-9885F9019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142" name="Picture 141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FF2926-139C-6A6C-FC1B-94C090CAF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143" name="Picture 142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C5D71-D9E7-CC9F-4E7E-1529654A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144" name="Picture 143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1F072-2B0A-FE7A-4434-0FF9B3BF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145" name="Picture 144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B34C0-30B9-CC5C-6E72-BBF55DA3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146" name="Picture 145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2ABE1-DCF0-2B78-0E5C-49B0680E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147" name="Picture 146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C39E1-A8A3-E3F1-9229-78B1587F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148" name="Picture 147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E13AE1-51F7-AEAF-0023-A4C2097D1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149" name="Picture 148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A9635-84DC-4CB2-4DCF-62B4C724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150" name="Picture 149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1062D-9185-BBF3-E887-5E95AC947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151" name="Picture 150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7061F-E941-2EEC-CCA6-56692795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152" name="Picture 151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F5402-2ABB-D512-C498-2FA85DF1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153" name="Picture 152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2F3143-6AF8-E64F-3ABD-AE97C435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54" name="Picture 153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3F3B2C-C7FF-5936-FD60-BDCAB0B2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55" name="Picture 154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10D16-1ED0-01B9-4AEE-6545BC9A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56" name="Picture 155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DB9F7-FDF2-F513-BB40-88B6333E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57" name="Picture 156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D51E2-C6D0-BBB4-F2F3-86964634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158" name="Picture 157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3746C0-14EA-CA0B-B630-24F98F98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159" name="Picture 158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3308C-C1F6-2008-5A1D-1B6F6BB7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160" name="Picture 159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C1FC0E-530C-C86C-8AA3-666640E7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161" name="Picture 160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4DBD3-4C60-3BD8-0F6B-296FB7E1B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162" name="Picture 161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C16A9-727D-7113-4270-A3D227E5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163" name="Picture 162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3B04D-D9F7-8E95-9432-322FD04E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164" name="Picture 163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3009B-6801-B6EB-C0CA-D9D8DC34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165" name="Picture 164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8AA2B3-2656-9B44-B9D5-E532CD41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166" name="Picture 165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6E4C5F-D050-86F8-6ED9-83CEA2211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167" name="Picture 166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23F41-7B7F-B8CF-3D21-E8F607EF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168" name="Picture 167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3B445-FE21-7E6E-E032-E0C93825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169" name="Picture 168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323EE8-BFA9-C9BA-9A55-BA9FFE01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170" name="Picture 169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E94031-90E1-F34E-212E-25E8F3848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171" name="Picture 170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2CDB0-4C42-75D1-DBDF-94125839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172" name="Picture 171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AD334-A78A-5773-B11C-B1C0C2196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173" name="Picture 172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BC570-4AB5-728F-48B5-8CE863BA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174" name="Picture 173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6990A-8B32-2C85-31CB-7D0A6580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175" name="Picture 174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77C3A-7A6C-A2B8-67B6-D6F8DFF2C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176" name="Picture 175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272D97-2B74-1BDF-BF6A-6EF35F67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177" name="Picture 176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44332-AA23-5EBA-ACE3-5AFDEA56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178" name="Picture 177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CCED44-593D-C21A-2E83-085DED9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179" name="Picture 178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D53B5-2AAE-4EF5-D729-0D3A0DD2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198" name="Picture 197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3AC80-3F08-85E1-F452-37DBB601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199" name="Picture 198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AED0F-F036-E0CC-4D7A-0DF7A160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00" name="Picture 199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0B8CE1-22E6-5D5E-7BD4-9A10B396C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01" name="Picture 200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97A78-AA6D-CE75-4447-7C50C3AC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02" name="Picture 201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CC9E03-9BF4-4C93-7756-67D6ED79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03" name="Picture 202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9A8BA-0060-449B-B875-F0D41844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04" name="Picture 203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33C181-591D-BF60-6B81-9AA088716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05" name="Picture 204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205DD-6260-2F57-F994-0DFEBD25D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06" name="Picture 205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53B636-D538-A1B5-D06C-73B520C88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07" name="Picture 206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24D024-8215-EAC5-45D8-D98EB05D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08" name="Picture 207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81D35-4320-CFD0-B63A-E9D45A6C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09" name="Picture 208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2CC6B-EB44-FE8F-0E9B-181ACC84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10" name="Picture 209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30204-0322-BE74-5050-BBD18C733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11" name="Picture 210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2B001-405E-D7F3-3AD3-C9FA54AD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12" name="Picture 211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774D7-3431-4783-798A-08031C8B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213" name="Picture 212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CBAD4B-2C82-D29E-548B-8C2A357AC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214" name="Picture 213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11A5C9-8521-556E-DB3C-A20285F33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215" name="Picture 214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51D85-DA8C-48B4-DAE0-2BB4443C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16" name="Picture 215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4A3CA9-D08E-E322-D888-D5FCFDFFD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17" name="Picture 216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11A3B1-0A54-A6F3-4FAE-1DD26157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18" name="Picture 217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24B15-9BAC-9011-35F5-F213B459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19" name="Picture 218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1056E-EF54-9BD2-D695-B8BA978A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20" name="Picture 219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9016B-B781-0D60-3FFF-92D31C9B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21" name="Picture 220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44AE5-1207-D1D1-AF7D-70E9AF265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22" name="Picture 221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12D4C-2045-CB2C-4CBE-511919CD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23" name="Picture 222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67C81-6720-6ACF-C707-97975DDC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24" name="Picture 223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F0C431-F420-8C91-7C98-8768FE49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25" name="Picture 224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BF049-5A79-E2CD-D34C-8B05192C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26" name="Picture 225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75CE7-D7FD-9FEB-ED98-73F2BB854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27" name="Picture 226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A2804-6E92-6010-D92D-C5AEA077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28" name="Picture 227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5BD3B-C826-3A6A-DC22-CD39D032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29" name="Picture 228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68B6E-90E3-5FA6-E995-F9579829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30" name="Picture 229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E9543-E190-3615-D9A0-27D67EBB2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231" name="Picture 230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4F65C-38D2-DAC9-B432-5C5826EE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232" name="Picture 231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886EF-41CF-5630-7502-A6E28C78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233" name="Picture 232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BFD0D-2A30-2410-6356-B5314242E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34" name="Picture 233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9BAA4-450E-A7D4-8A2D-4C6258B61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35" name="Picture 234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FB017-E7E4-26BF-E4F7-199ACCA4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36" name="Picture 235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2D66B3-C896-9A95-75EE-14543F2C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37" name="Picture 236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C5FC5-B256-8AC4-5E5E-539B178F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38" name="Picture 237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DBC66-3DCF-97A8-2C71-0210662D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39" name="Picture 238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1A6ACD-E1D2-57CD-8928-B2D59C5B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40" name="Picture 239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E3373-85C8-9584-9B7C-418BA985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41" name="Picture 240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34944-2919-CD96-1DF6-A2D7DEB9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42" name="Picture 241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386DD-5C34-73C4-A7F7-AA46F67C0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43" name="Picture 242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1CB602-8D3E-3D94-AF10-D1890495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44" name="Picture 243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73AAC0-7123-C60E-4273-2423745B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45" name="Picture 244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D11EF6-BAD1-CD65-A6D1-64F2D8AD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46" name="Picture 245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5E10F-8C1D-16E2-89C4-8E9A3F16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47" name="Picture 246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C7542-B540-CC57-195E-94EE32B20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48" name="Picture 247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CDCE1-B037-FE8C-4E11-0A8C3C2D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249" name="Picture 248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03494-5CE6-06B2-F053-08BE5E2BA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250" name="Picture 249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1FA9AA-079C-310D-483F-18088C879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51" name="Picture 250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15A8A2-4C4D-EDC2-72A9-DCD71B93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52" name="Picture 251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57F2B2-7815-830E-F00D-61A863B09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53" name="Picture 252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320D8-AC3C-26DC-F4A1-3B3126A99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54" name="Picture 253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D4E73-E7F3-9EFB-850D-70BC2A89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55" name="Picture 254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8FB3A-5E52-4640-5A4E-4530064D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56" name="Picture 255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3DD44-14B7-835F-2DE4-F9B0AA696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57" name="Picture 256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EC2AD-ADA3-F86C-EE45-73C584E9D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58" name="Picture 257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FE3331-C5B2-3909-6EDE-71A281B1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59" name="Picture 258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1FFC6-9659-8ED3-AAA8-CCB61A703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60" name="Picture 259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DD545-B39E-C69A-56D6-7C12E23F3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61" name="Picture 260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0A128-357C-4E02-1191-4A795198A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62" name="Picture 261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7250B-21A9-EFC7-2EE5-897591C0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63" name="Picture 262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647E20-3C3B-4565-C673-01683A26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64" name="Picture 263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64235E-8468-0399-C4BA-93B0468D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65" name="Picture 264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168110-6F06-21F7-07C7-E196B2BD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266" name="Picture 265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94226-9A62-4552-AAB0-692E61D99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267" name="Picture 266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EA49B-577D-61E8-CE1C-EC78BCC24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68" name="Picture 267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B4FE64-04B9-09D3-A349-8BC907FE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69" name="Picture 268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82DB3-5B88-AD45-0379-4B72E9B6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70" name="Picture 269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A6BE1B-969A-EA63-D963-7494312B6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71" name="Picture 270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51C55-5B29-AB87-4911-F5660B65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72" name="Picture 271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3CC974-8218-6A5E-CA25-4294CA31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73" name="Picture 272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8524AA-EDD8-3361-31C3-E9C0890A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74" name="Picture 273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88A5D-9F37-C352-3092-D35169E8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75" name="Picture 274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59936-CADE-E11A-4B63-17439442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76" name="Picture 275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557B3-DC2B-08BF-8965-EFF66FDE6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77" name="Picture 276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90589-8FE8-0877-D783-C3357CBD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78" name="Picture 277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812662-7728-CA24-7FB5-54F1774AD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79" name="Picture 278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0F9AF-25F1-6960-B27D-7981436D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80" name="Picture 279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0C5EC-7974-FD86-B656-7DC89015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81" name="Picture 280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9086-1425-9C63-C617-D3C198049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82" name="Picture 281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6D85BE-C7F0-10E7-2A45-BF91F607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283" name="Picture 282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2CE7B-BFB5-C91C-6ED4-C5FA0C3D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284" name="Picture 283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4C4D5-7DFC-4D03-05FC-53965025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285" name="Picture 284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3A99B-48D4-52A8-6A05-3B757C24A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286" name="Picture 285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2EE26-3401-FDD1-8A67-8B0E7E7F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287" name="Picture 286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3F4E0-0D1A-F45E-B35D-A2FD27A3E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288" name="Picture 287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F56E9-918A-0C31-0DE5-D6EBB9C3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289" name="Picture 288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9FD89-DE00-777B-4542-6895519ED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290" name="Picture 289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29E77-443F-798D-9AD8-141171DE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291" name="Picture 290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C99DE-57C4-4E6E-1085-7A7ED9E7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292" name="Picture 291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0C35B-38F5-02E9-1626-9E2B1F5D2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293" name="Picture 292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352B80-CE75-446E-0E34-16509CABF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294" name="Picture 293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D5FAA-1FA8-DFD5-5D04-95BCAD1D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295" name="Picture 294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2BA97-5911-BB8E-22C1-22635FB6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296" name="Picture 295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13EDCF-BF28-E771-2E89-1A629657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297" name="Picture 296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FC394-ED1F-CBE9-9EDF-0D7BDCFDC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298" name="Picture 297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DDFA5-9CDB-B02B-C078-6D58FDE1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299" name="Picture 298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625EE9-9479-7394-9ADD-B342A039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300" name="Picture 299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4F7FA-4035-54F6-2EB8-FB0C9327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301" name="Picture 300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35A03-3418-1C66-A8C6-9C8038DD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302" name="Picture 301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A18CF-C637-DF38-98FC-868EA811E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303" name="Picture 302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15B0C-AE02-ED77-63D9-B3ACBF3B8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304" name="Picture 303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002D4-2F93-A824-70F6-31E39280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305" name="Picture 304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416C2-C9B3-1D4C-FF2D-8A9CB8EB7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306" name="Picture 305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1AA12E-C646-B176-214B-2E0DA518B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307" name="Picture 306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45DA6-5572-7D3B-B97B-6633B457C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308" name="Picture 307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914B0-B9A6-258C-2D4D-AEE663C19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309" name="Picture 308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2EE14-FA12-904A-E330-0D2623B1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310" name="Picture 309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15CC8-D5EB-84C3-8B19-45F67EA0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311" name="Picture 310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AB5B73-359C-6BD8-4527-EB60AB9C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312" name="Picture 311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60ADF-3AE1-F1E7-A677-4FB87237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313" name="Picture 312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774F4-B132-75F2-B8BE-8B55D8FA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314" name="Picture 313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ADA10-4F26-5B91-576B-F789F486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315" name="Picture 314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59CF7-86B3-BD37-6B1F-748DF2D9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316" name="Picture 315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99EA4-9698-CC8E-2BAC-20F54F2F1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317" name="Picture 316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3CDB3-D25B-1625-03E6-3B65CE0A0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318" name="Picture 317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246C9-E88F-82EB-3586-29544F19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319" name="Picture 318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B5D067-56D5-A662-3F80-2A9454E3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337" name="Picture 336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E99B2D-7310-9A3B-21D4-8AE00604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338" name="Picture 337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F0C0B-FC30-938C-0E9A-D36EF3E7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339" name="Picture 338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87EDF-C09F-0723-9C82-677778E8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340" name="Picture 339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AA450-B0A2-78BC-4C18-96011F462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341" name="Picture 340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63C2B-3DDE-73E1-4250-25046C18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342" name="Picture 341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8C574-E5E4-8565-BDD3-63BFC797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343" name="Picture 342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16D20-BB20-1191-7759-DE0A60A2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344" name="Picture 343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D9EF7-EF96-1C38-7B4A-FE3D80DCC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345" name="Picture 344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B3535-4665-0509-0E57-382928B89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346" name="Picture 345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CFB6C2-16D9-EBB1-4D5B-ED1D19F4E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347" name="Picture 346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CE25F-2789-111C-EE50-2B7FEBD7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348" name="Picture 347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1B779-2266-9293-0678-BEC7CAE36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349" name="Picture 348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04BF4-1C2E-6662-D004-87E13C401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350" name="Picture 349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41C58-8AEF-9D02-B28F-EDA6F443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351" name="Picture 350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29B67-560C-A3EA-2E97-56BF6C902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352" name="Picture 351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77CF7-268F-7CCD-417A-35D7C102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353" name="Picture 352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677A97-E301-ADF6-7D4A-9B5DE211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372" name="Picture 371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24C70-0FA2-3E80-DBD7-8ED6ED869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373" name="Picture 372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198AD-F4F7-8561-92F8-1FC6D4FEC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374" name="Picture 373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CC2381-631E-24C2-2FA9-3B8F70BB8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375" name="Picture 374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E9CB1-5C61-A5E2-888C-3A137A8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376" name="Picture 375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14366-54BA-E5F2-C5AC-15538C4B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377" name="Picture 376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5CD0C5-A28C-D7FA-B60A-3B4B0C45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378" name="Picture 377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0F6BB-0D75-6035-F2D3-7B575760B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379" name="Picture 378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EA31F-5B3C-617C-0A55-6661994BA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380" name="Picture 379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CBDC5-1643-74C8-31CF-6D66CE72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381" name="Picture 380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2F2D3-5942-4169-B96F-BD1E72866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382" name="Picture 381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04BE4-791D-EC4F-9D25-11FE99002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383" name="Picture 382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1B993D-8A78-D9E6-ACB8-B498166B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384" name="Picture 383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AA177-7A19-7C3E-11B0-C7F8B3DF4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385" name="Picture 384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2D68A-CC60-8D4D-5F55-F420BEC9E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386" name="Picture 385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D9F7CB-5481-FB47-BC91-CE6B95EED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387" name="Picture 386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A6E3F-5047-3B49-3326-98B44EBE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388" name="Picture 387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6A8AE6-F7D3-983D-FDAB-D33FDF08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389" name="Picture 388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4786D-6ACE-DFE6-76F4-E2AD6B64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390" name="Picture 389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78D5BD-372B-4555-8596-7749F835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391" name="Picture 390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C99B2-2020-09BC-1587-72EF0119D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392" name="Picture 391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8E3520-DDBF-B177-CBFE-80B4C40B4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393" name="Picture 392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C8B04-052D-FB45-9CCD-EEB7D6C0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394" name="Picture 393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B906E-8F9B-3671-969E-17BF7231E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395" name="Picture 394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771E95-3D7F-F865-674F-A76BD2D90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396" name="Picture 395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37AD0-5907-658C-571A-C8F5AA5C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397" name="Picture 396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63EF9-7A6A-9DB1-18D7-3064DF41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398" name="Picture 397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698E74-DE8E-4467-D064-663B491C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399" name="Picture 398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214CA-E549-B69E-6181-82A6FA5E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00" name="Picture 399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ED284-4CA9-9EFF-F086-7F5E3095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01" name="Picture 400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F257A-3B5E-A824-A83C-29F139F4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02" name="Picture 401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2BB78-32EC-F62A-E474-CD510FCE2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403" name="Picture 402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EBD9F-F327-B633-D85F-FEAE7555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404" name="Picture 403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51A0F3-690A-AFB5-0E12-E154BFF0D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405" name="Picture 404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04A38-DCD8-B418-5BB2-52B7C5EE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406" name="Picture 405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527F30-F0BA-51BD-3A00-0DA399401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407" name="Picture 406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1EE15-4672-3A42-452D-3384ECC8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408" name="Picture 407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B04435-5075-02EE-EE8A-FCDB9A32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409" name="Picture 408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984E4-3A02-CBDB-3C07-8BE61F48A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410" name="Picture 409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7AD4D-2EAA-296F-A1E0-1F6DF9B6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411" name="Picture 410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CF39BA-01A6-D84A-CEE9-FAADA58CA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412" name="Picture 411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78DAEB-3034-2D75-3DA2-8611F1AA2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413" name="Picture 412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DCE79-4A8E-D493-EF10-828193C7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414" name="Picture 413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423F66-6AAD-ED45-81E5-C4BF48A4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415" name="Picture 414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7B603-6582-C152-CF8B-98381ED3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416" name="Picture 415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F4171-B78B-726B-B280-E7A504E05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417" name="Picture 416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3C7CF-D481-AA50-E45B-1E52F44F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18" name="Picture 417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043BB-B95E-CA0B-C9FB-AC44319C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19" name="Picture 418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DF26B8-8AE5-0090-79B7-B8B9BDEE7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20" name="Picture 419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ADE0DD-A058-5F8F-D32D-65E5E59B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421" name="Picture 420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0268B-232F-1509-DB75-A9C9DA305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422" name="Picture 421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FEA1E-90E5-AFCB-BA30-EF7CB07B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423" name="Picture 422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26716-C703-1921-40C0-ED48E077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424" name="Picture 423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D40AD-47A2-3C3E-478D-23C51F1E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425" name="Picture 424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AA852-842F-85ED-476C-B5889A54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426" name="Picture 425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B9E02-6CFA-D5C9-2D61-CAC17E10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427" name="Picture 426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B6B0F-C62D-8471-0B93-5841693C9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428" name="Picture 427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23906-21ED-C2F7-CC16-E83A5BE8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429" name="Picture 428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CC7EE6-1FEE-4662-0E32-07B25EF2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430" name="Picture 429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59771-70CE-0421-2108-03797C13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431" name="Picture 430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3521E-83FB-9AED-3FB9-10427DB8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432" name="Picture 431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1DADB-7C5D-A72C-0643-41D97419F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433" name="Picture 432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E7EC99-C794-C54D-AC11-7CE2DC14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434" name="Picture 433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595EC-BEBD-9736-7131-63F0C58A7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435" name="Picture 434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8548E-65E8-F9B7-FF38-AFD851AFE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36" name="Picture 435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3E484-E471-8ABF-C6E5-858419C2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37" name="Picture 436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A48E53-60E5-9C2E-252A-D4C6C2D5A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38" name="Picture 437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E2A39-7083-58B5-FC56-6537EDEC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439" name="Picture 438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E47787-A9B5-C52B-FF16-3BAC97C2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440" name="Picture 439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80065-2F4D-E3EF-BD93-0705C609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441" name="Picture 440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8DD3A8-C4EA-4197-4EC1-8243E8979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442" name="Picture 441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D0208-85FB-13B1-8148-A69DBBA90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443" name="Picture 442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15516-E4DA-ADB4-A3E3-A81CF59C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444" name="Picture 443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A6936-BE41-5D00-13D2-EF79C42AA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445" name="Picture 444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83275-765F-04B2-18E6-6387B2F0A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446" name="Picture 445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ED723D-0BB2-4D0C-E9D3-6F8957F77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447" name="Picture 446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E5530-1A9F-FEF4-B7FC-EE459C925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448" name="Picture 447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860BB6-B78D-D5E5-1AA1-08BA6251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449" name="Picture 448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72DD0-B4BC-B96A-A17B-CE2F999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450" name="Picture 449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5FFEC-CE7C-25DD-78F3-8C95DA2D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451" name="Picture 450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7D5E9-DBE0-7FE8-2375-1FCE3082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452" name="Picture 451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09F99-F436-ED0E-6342-F75F1B98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453" name="Picture 452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C5AE3-C0C8-D61F-BD30-A37C408EF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54" name="Picture 453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04C86-F8A7-22D6-8E54-9CF545B7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55" name="Picture 454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27F7B-E812-3237-2F28-D7F0A795F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56" name="Picture 455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332D8-561D-4131-AB7E-6F09CCF0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457" name="Picture 456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5E0AED-B592-9DCF-F5B3-33E4FAC5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458" name="Picture 457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955EC7-A0CE-9C4A-28FF-5DBDBCC4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459" name="Picture 458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BC34F-640E-9038-E5E2-54E3DC7D6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460" name="Picture 459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E77986-B298-EA8A-776B-04CBC9364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461" name="Picture 460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3FE6F-ACD1-43AE-1F00-4792726A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137160</xdr:colOff>
      <xdr:row>2</xdr:row>
      <xdr:rowOff>121920</xdr:rowOff>
    </xdr:to>
    <xdr:pic>
      <xdr:nvPicPr>
        <xdr:cNvPr id="462" name="Picture 461" descr="Call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F10E7B-6C87-846D-123E-488BD1167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22</xdr:col>
      <xdr:colOff>137160</xdr:colOff>
      <xdr:row>2</xdr:row>
      <xdr:rowOff>121920</xdr:rowOff>
    </xdr:to>
    <xdr:pic>
      <xdr:nvPicPr>
        <xdr:cNvPr id="463" name="Picture 462" descr="Puts chart for row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BFD3EA-47E7-2973-924F-A5925D8E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381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137160</xdr:colOff>
      <xdr:row>3</xdr:row>
      <xdr:rowOff>121920</xdr:rowOff>
    </xdr:to>
    <xdr:pic>
      <xdr:nvPicPr>
        <xdr:cNvPr id="464" name="Picture 463" descr="Call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3B0FC2-04A1-BE4D-99A1-5EA2EF5A9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137160</xdr:colOff>
      <xdr:row>3</xdr:row>
      <xdr:rowOff>121920</xdr:rowOff>
    </xdr:to>
    <xdr:pic>
      <xdr:nvPicPr>
        <xdr:cNvPr id="465" name="Picture 464" descr="Puts chart for row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87F60A-21D4-7E0A-ED34-DE4AC7756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571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137160</xdr:colOff>
      <xdr:row>4</xdr:row>
      <xdr:rowOff>121920</xdr:rowOff>
    </xdr:to>
    <xdr:pic>
      <xdr:nvPicPr>
        <xdr:cNvPr id="466" name="Picture 465" descr="Call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00803-2649-EAFA-2D8F-DE3E4FDFB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137160</xdr:colOff>
      <xdr:row>4</xdr:row>
      <xdr:rowOff>121920</xdr:rowOff>
    </xdr:to>
    <xdr:pic>
      <xdr:nvPicPr>
        <xdr:cNvPr id="467" name="Picture 466" descr="Puts chart for row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5CE22-4C6D-8CA0-9DB5-C46ECEE8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762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137160</xdr:colOff>
      <xdr:row>5</xdr:row>
      <xdr:rowOff>121920</xdr:rowOff>
    </xdr:to>
    <xdr:pic>
      <xdr:nvPicPr>
        <xdr:cNvPr id="468" name="Picture 467" descr="Call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F97BC-B831-A22B-491D-4B35EF06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22</xdr:col>
      <xdr:colOff>137160</xdr:colOff>
      <xdr:row>5</xdr:row>
      <xdr:rowOff>121920</xdr:rowOff>
    </xdr:to>
    <xdr:pic>
      <xdr:nvPicPr>
        <xdr:cNvPr id="469" name="Picture 468" descr="Puts chart for row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5E27B-C720-0839-872B-574844CCB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952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137160</xdr:colOff>
      <xdr:row>6</xdr:row>
      <xdr:rowOff>121920</xdr:rowOff>
    </xdr:to>
    <xdr:pic>
      <xdr:nvPicPr>
        <xdr:cNvPr id="470" name="Picture 469" descr="Call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6FA47-3F09-2737-847A-C6A6CF56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137160</xdr:colOff>
      <xdr:row>6</xdr:row>
      <xdr:rowOff>121920</xdr:rowOff>
    </xdr:to>
    <xdr:pic>
      <xdr:nvPicPr>
        <xdr:cNvPr id="471" name="Picture 470" descr="Puts chart for row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2F0289-A3D2-9095-1803-16B8FB14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143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137160</xdr:colOff>
      <xdr:row>7</xdr:row>
      <xdr:rowOff>121920</xdr:rowOff>
    </xdr:to>
    <xdr:pic>
      <xdr:nvPicPr>
        <xdr:cNvPr id="472" name="Picture 471" descr="Call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B03EF-F772-35DF-312C-01EEFF94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137160</xdr:colOff>
      <xdr:row>7</xdr:row>
      <xdr:rowOff>121920</xdr:rowOff>
    </xdr:to>
    <xdr:pic>
      <xdr:nvPicPr>
        <xdr:cNvPr id="473" name="Picture 472" descr="Puts chart for row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855BF2-12DE-804A-0AE0-46D5A46D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333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137160</xdr:colOff>
      <xdr:row>8</xdr:row>
      <xdr:rowOff>121920</xdr:rowOff>
    </xdr:to>
    <xdr:pic>
      <xdr:nvPicPr>
        <xdr:cNvPr id="474" name="Picture 473" descr="Call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A524F-9CF8-BA7F-907D-110FFE5D7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137160</xdr:colOff>
      <xdr:row>8</xdr:row>
      <xdr:rowOff>121920</xdr:rowOff>
    </xdr:to>
    <xdr:pic>
      <xdr:nvPicPr>
        <xdr:cNvPr id="475" name="Picture 474" descr="Puts chart for row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AD03F-248A-EB16-DBB8-7DA72164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524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137160</xdr:colOff>
      <xdr:row>9</xdr:row>
      <xdr:rowOff>121920</xdr:rowOff>
    </xdr:to>
    <xdr:pic>
      <xdr:nvPicPr>
        <xdr:cNvPr id="476" name="Picture 475" descr="Call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A87F84-A7D8-A385-D116-4D5EDC27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137160</xdr:colOff>
      <xdr:row>9</xdr:row>
      <xdr:rowOff>121920</xdr:rowOff>
    </xdr:to>
    <xdr:pic>
      <xdr:nvPicPr>
        <xdr:cNvPr id="477" name="Picture 476" descr="Puts chart for row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7BD6AD-1B63-C6B3-9E6B-41D88995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7145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137160</xdr:colOff>
      <xdr:row>10</xdr:row>
      <xdr:rowOff>121920</xdr:rowOff>
    </xdr:to>
    <xdr:pic>
      <xdr:nvPicPr>
        <xdr:cNvPr id="478" name="Picture 477" descr="Call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33A35-DDDD-7C65-B112-310E833BE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137160</xdr:colOff>
      <xdr:row>10</xdr:row>
      <xdr:rowOff>121920</xdr:rowOff>
    </xdr:to>
    <xdr:pic>
      <xdr:nvPicPr>
        <xdr:cNvPr id="479" name="Picture 478" descr="Puts chart for row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2578C-5FD4-CCB5-E5AD-623D0CE3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9780" y="1905000"/>
          <a:ext cx="13716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13" Type="http://schemas.openxmlformats.org/officeDocument/2006/relationships/hyperlink" Target="https://www.nseindia.com/get-quotes/derivatives?symbol=NIFTY&amp;identifier=OPTIDXNIFTY02-03-2026CE25550.00" TargetMode="External"/><Relationship Id="rId18" Type="http://schemas.openxmlformats.org/officeDocument/2006/relationships/hyperlink" Target="https://www.nseindia.com/get-quotes/derivatives?symbol=NIFTY&amp;identifier=OPTIDXNIFTY02-03-2026PE25600.00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https://www.nseindia.com/get-quotes/derivatives?symbol=NIFTY&amp;identifier=OPTIDXNIFTY02-03-2026PE25350.00" TargetMode="External"/><Relationship Id="rId21" Type="http://schemas.openxmlformats.org/officeDocument/2006/relationships/hyperlink" Target="https://www.nseindia.com/get-quotes/derivatives?symbol=NIFTY&amp;identifier=OPTIDXNIFTY02-03-2026PE25650.00" TargetMode="External"/><Relationship Id="rId7" Type="http://schemas.openxmlformats.org/officeDocument/2006/relationships/hyperlink" Target="https://www.nseindia.com/get-quotes/derivatives?symbol=NIFTY&amp;identifier=OPTIDXNIFTY02-03-2026CE25450.00" TargetMode="External"/><Relationship Id="rId12" Type="http://schemas.openxmlformats.org/officeDocument/2006/relationships/hyperlink" Target="https://www.nseindia.com/get-quotes/derivatives?symbol=NIFTY&amp;identifier=OPTIDXNIFTY02-03-2026PE25500.00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https://www.nseindia.com/get-quotes/derivatives?symbol=NIFTY&amp;identifier=OPTIDXNIFTY02-03-2026CE25750.00" TargetMode="External"/><Relationship Id="rId2" Type="http://schemas.openxmlformats.org/officeDocument/2006/relationships/hyperlink" Target="javascript:;" TargetMode="External"/><Relationship Id="rId16" Type="http://schemas.openxmlformats.org/officeDocument/2006/relationships/hyperlink" Target="https://www.nseindia.com/get-quotes/derivatives?symbol=NIFTY&amp;identifier=OPTIDXNIFTY02-03-2026CE25600.00" TargetMode="External"/><Relationship Id="rId20" Type="http://schemas.openxmlformats.org/officeDocument/2006/relationships/hyperlink" Target="javascript:;" TargetMode="External"/><Relationship Id="rId1" Type="http://schemas.openxmlformats.org/officeDocument/2006/relationships/hyperlink" Target="https://www.nseindia.com/get-quotes/derivatives?symbol=NIFTY&amp;identifier=OPTIDXNIFTY02-03-2026CE25350.00" TargetMode="External"/><Relationship Id="rId6" Type="http://schemas.openxmlformats.org/officeDocument/2006/relationships/hyperlink" Target="https://www.nseindia.com/get-quotes/derivatives?symbol=NIFTY&amp;identifier=OPTIDXNIFTY02-03-2026PE25400.00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https://www.nseindia.com/get-quotes/derivatives?symbol=NIFTY&amp;identifier=OPTIDXNIFTY02-03-2026PE25700.00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https://www.nseindia.com/get-quotes/derivatives?symbol=NIFTY&amp;identifier=OPTIDXNIFTY02-03-2026PE25550.00" TargetMode="External"/><Relationship Id="rId23" Type="http://schemas.openxmlformats.org/officeDocument/2006/relationships/hyperlink" Target="javascript:;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nseindia.com/get-quotes/derivatives?symbol=NIFTY&amp;identifier=OPTIDXNIFTY02-03-2026CE25500.00" TargetMode="External"/><Relationship Id="rId19" Type="http://schemas.openxmlformats.org/officeDocument/2006/relationships/hyperlink" Target="https://www.nseindia.com/get-quotes/derivatives?symbol=NIFTY&amp;identifier=OPTIDXNIFTY02-03-2026CE25650.00" TargetMode="External"/><Relationship Id="rId4" Type="http://schemas.openxmlformats.org/officeDocument/2006/relationships/hyperlink" Target="https://www.nseindia.com/get-quotes/derivatives?symbol=NIFTY&amp;identifier=OPTIDXNIFTY02-03-2026CE25400.00" TargetMode="External"/><Relationship Id="rId9" Type="http://schemas.openxmlformats.org/officeDocument/2006/relationships/hyperlink" Target="https://www.nseindia.com/get-quotes/derivatives?symbol=NIFTY&amp;identifier=OPTIDXNIFTY02-03-2026PE25450.00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https://www.nseindia.com/get-quotes/derivatives?symbol=NIFTY&amp;identifier=OPTIDXNIFTY02-03-2026CE25700.00" TargetMode="External"/><Relationship Id="rId27" Type="http://schemas.openxmlformats.org/officeDocument/2006/relationships/hyperlink" Target="https://www.nseindia.com/get-quotes/derivatives?symbol=NIFTY&amp;identifier=OPTIDXNIFTY02-03-2026PE2575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B235-3260-4907-8907-8A89469E1236}">
  <dimension ref="A1:W13"/>
  <sheetViews>
    <sheetView tabSelected="1" workbookViewId="0">
      <selection activeCell="A3" sqref="A3:W11"/>
    </sheetView>
  </sheetViews>
  <sheetFormatPr defaultRowHeight="14.4" x14ac:dyDescent="0.3"/>
  <cols>
    <col min="3" max="3" width="9.5546875" bestFit="1" customWidth="1"/>
    <col min="12" max="12" width="9.21875" bestFit="1" customWidth="1"/>
  </cols>
  <sheetData>
    <row r="1" spans="1:23" ht="15" thickBo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17"/>
      <c r="M1" s="24" t="s">
        <v>1</v>
      </c>
      <c r="N1" s="24"/>
      <c r="O1" s="24"/>
      <c r="P1" s="24"/>
      <c r="Q1" s="24"/>
      <c r="R1" s="24"/>
      <c r="S1" s="24"/>
      <c r="T1" s="24"/>
      <c r="U1" s="24"/>
      <c r="V1" s="24"/>
      <c r="W1" s="25"/>
    </row>
    <row r="2" spans="1:23" ht="15" thickBot="1" x14ac:dyDescent="0.35">
      <c r="A2" s="18"/>
      <c r="B2" s="15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8</v>
      </c>
      <c r="N2" s="16" t="s">
        <v>9</v>
      </c>
      <c r="O2" s="16" t="s">
        <v>10</v>
      </c>
      <c r="P2" s="16" t="s">
        <v>11</v>
      </c>
      <c r="Q2" s="16" t="s">
        <v>7</v>
      </c>
      <c r="R2" s="16" t="s">
        <v>6</v>
      </c>
      <c r="S2" s="16" t="s">
        <v>5</v>
      </c>
      <c r="T2" s="16" t="s">
        <v>4</v>
      </c>
      <c r="U2" s="16" t="s">
        <v>3</v>
      </c>
      <c r="V2" s="16" t="s">
        <v>2</v>
      </c>
      <c r="W2" s="19"/>
    </row>
    <row r="3" spans="1:23" ht="15" thickBot="1" x14ac:dyDescent="0.35">
      <c r="A3" s="7"/>
      <c r="B3" s="8">
        <v>8791</v>
      </c>
      <c r="C3" s="8">
        <v>4770</v>
      </c>
      <c r="D3" s="8">
        <v>120599</v>
      </c>
      <c r="E3" s="9">
        <v>12.57</v>
      </c>
      <c r="F3" s="10">
        <v>221.45</v>
      </c>
      <c r="G3" s="12">
        <v>-28.25</v>
      </c>
      <c r="H3" s="9">
        <v>455</v>
      </c>
      <c r="I3" s="9">
        <v>221.25</v>
      </c>
      <c r="J3" s="9">
        <v>221.65</v>
      </c>
      <c r="K3" s="9">
        <v>325</v>
      </c>
      <c r="L3" s="11">
        <v>25350</v>
      </c>
      <c r="M3" s="9">
        <v>195</v>
      </c>
      <c r="N3" s="9">
        <v>104.75</v>
      </c>
      <c r="O3" s="9">
        <v>104.95</v>
      </c>
      <c r="P3" s="9">
        <v>325</v>
      </c>
      <c r="Q3" s="12">
        <v>-26.65</v>
      </c>
      <c r="R3" s="10">
        <v>104.65</v>
      </c>
      <c r="S3" s="9">
        <v>13.48</v>
      </c>
      <c r="T3" s="8">
        <v>1136176</v>
      </c>
      <c r="U3" s="8">
        <v>31016</v>
      </c>
      <c r="V3" s="8">
        <v>42422</v>
      </c>
      <c r="W3" s="13"/>
    </row>
    <row r="4" spans="1:23" ht="15" thickBot="1" x14ac:dyDescent="0.35">
      <c r="A4" s="14"/>
      <c r="B4" s="3">
        <v>47119</v>
      </c>
      <c r="C4" s="3">
        <v>8013</v>
      </c>
      <c r="D4" s="3">
        <v>744090</v>
      </c>
      <c r="E4" s="1">
        <v>12.35</v>
      </c>
      <c r="F4" s="4">
        <v>189.85</v>
      </c>
      <c r="G4" s="6">
        <v>-28.55</v>
      </c>
      <c r="H4" s="1">
        <v>585</v>
      </c>
      <c r="I4" s="1">
        <v>189.7</v>
      </c>
      <c r="J4" s="1">
        <v>190.1</v>
      </c>
      <c r="K4" s="1">
        <v>715</v>
      </c>
      <c r="L4" s="5">
        <v>25400</v>
      </c>
      <c r="M4" s="1">
        <v>130</v>
      </c>
      <c r="N4" s="1">
        <v>122.85</v>
      </c>
      <c r="O4" s="1">
        <v>123</v>
      </c>
      <c r="P4" s="1">
        <v>195</v>
      </c>
      <c r="Q4" s="6">
        <v>-26.65</v>
      </c>
      <c r="R4" s="4">
        <v>122.85</v>
      </c>
      <c r="S4" s="1">
        <v>13.35</v>
      </c>
      <c r="T4" s="3">
        <v>2459842</v>
      </c>
      <c r="U4" s="3">
        <v>62953</v>
      </c>
      <c r="V4" s="3">
        <v>109844</v>
      </c>
      <c r="W4" s="2"/>
    </row>
    <row r="5" spans="1:23" ht="15" thickBot="1" x14ac:dyDescent="0.35">
      <c r="A5" s="14"/>
      <c r="B5" s="3">
        <v>53681</v>
      </c>
      <c r="C5" s="3">
        <v>34333</v>
      </c>
      <c r="D5" s="3">
        <v>814908</v>
      </c>
      <c r="E5" s="1">
        <v>12.13</v>
      </c>
      <c r="F5" s="4">
        <v>160.35</v>
      </c>
      <c r="G5" s="6">
        <v>-29.7</v>
      </c>
      <c r="H5" s="1">
        <v>910</v>
      </c>
      <c r="I5" s="1">
        <v>160.4</v>
      </c>
      <c r="J5" s="1">
        <v>160.55000000000001</v>
      </c>
      <c r="K5" s="1">
        <v>130</v>
      </c>
      <c r="L5" s="5">
        <v>25450</v>
      </c>
      <c r="M5" s="1">
        <v>715</v>
      </c>
      <c r="N5" s="1">
        <v>143.65</v>
      </c>
      <c r="O5" s="1">
        <v>143.9</v>
      </c>
      <c r="P5" s="3">
        <v>1430</v>
      </c>
      <c r="Q5" s="6">
        <v>-26.45</v>
      </c>
      <c r="R5" s="4">
        <v>143.80000000000001</v>
      </c>
      <c r="S5" s="1">
        <v>13.26</v>
      </c>
      <c r="T5" s="3">
        <v>2128435</v>
      </c>
      <c r="U5" s="3">
        <v>66754</v>
      </c>
      <c r="V5" s="3">
        <v>80020</v>
      </c>
      <c r="W5" s="2"/>
    </row>
    <row r="6" spans="1:23" ht="15" thickBot="1" x14ac:dyDescent="0.35">
      <c r="A6" s="14"/>
      <c r="B6" s="3">
        <v>168649</v>
      </c>
      <c r="C6" s="3">
        <v>63826</v>
      </c>
      <c r="D6" s="3">
        <v>2564279</v>
      </c>
      <c r="E6" s="1">
        <v>12.07</v>
      </c>
      <c r="F6" s="4">
        <v>134.6</v>
      </c>
      <c r="G6" s="6">
        <v>-28.55</v>
      </c>
      <c r="H6" s="1">
        <v>65</v>
      </c>
      <c r="I6" s="1">
        <v>134.55000000000001</v>
      </c>
      <c r="J6" s="1">
        <v>134.69999999999999</v>
      </c>
      <c r="K6" s="3">
        <v>1365</v>
      </c>
      <c r="L6" s="5">
        <v>25500</v>
      </c>
      <c r="M6" s="1">
        <v>195</v>
      </c>
      <c r="N6" s="1">
        <v>167.5</v>
      </c>
      <c r="O6" s="1">
        <v>167.8</v>
      </c>
      <c r="P6" s="1">
        <v>585</v>
      </c>
      <c r="Q6" s="6">
        <v>-26.3</v>
      </c>
      <c r="R6" s="4">
        <v>167.45</v>
      </c>
      <c r="S6" s="1">
        <v>13.12</v>
      </c>
      <c r="T6" s="3">
        <v>3923829</v>
      </c>
      <c r="U6" s="3">
        <v>57833</v>
      </c>
      <c r="V6" s="3">
        <v>119931</v>
      </c>
      <c r="W6" s="2"/>
    </row>
    <row r="7" spans="1:23" ht="15" thickBot="1" x14ac:dyDescent="0.35">
      <c r="A7" s="14"/>
      <c r="B7" s="3">
        <v>80097</v>
      </c>
      <c r="C7" s="3">
        <v>56431</v>
      </c>
      <c r="D7" s="3">
        <v>1709482</v>
      </c>
      <c r="E7" s="1">
        <v>11.98</v>
      </c>
      <c r="F7" s="4">
        <v>111.35</v>
      </c>
      <c r="G7" s="6">
        <v>-28.5</v>
      </c>
      <c r="H7" s="3">
        <v>3250</v>
      </c>
      <c r="I7" s="1">
        <v>111.1</v>
      </c>
      <c r="J7" s="1">
        <v>111.35</v>
      </c>
      <c r="K7" s="3">
        <v>1365</v>
      </c>
      <c r="L7" s="5">
        <v>25550</v>
      </c>
      <c r="M7" s="1">
        <v>260</v>
      </c>
      <c r="N7" s="1">
        <v>194.1</v>
      </c>
      <c r="O7" s="1">
        <v>194.4</v>
      </c>
      <c r="P7" s="1">
        <v>455</v>
      </c>
      <c r="Q7" s="6">
        <v>-25.2</v>
      </c>
      <c r="R7" s="4">
        <v>194.05</v>
      </c>
      <c r="S7" s="1">
        <v>13.02</v>
      </c>
      <c r="T7" s="3">
        <v>2076566</v>
      </c>
      <c r="U7" s="3">
        <v>24338</v>
      </c>
      <c r="V7" s="3">
        <v>31667</v>
      </c>
      <c r="W7" s="2"/>
    </row>
    <row r="8" spans="1:23" ht="15" thickBot="1" x14ac:dyDescent="0.35">
      <c r="A8" s="14"/>
      <c r="B8" s="3">
        <v>191058</v>
      </c>
      <c r="C8" s="3">
        <v>125810</v>
      </c>
      <c r="D8" s="3">
        <v>3742490</v>
      </c>
      <c r="E8" s="1">
        <v>11.92</v>
      </c>
      <c r="F8" s="4">
        <v>91.6</v>
      </c>
      <c r="G8" s="6">
        <v>-26.65</v>
      </c>
      <c r="H8" s="1">
        <v>455</v>
      </c>
      <c r="I8" s="1">
        <v>91.45</v>
      </c>
      <c r="J8" s="1">
        <v>91.6</v>
      </c>
      <c r="K8" s="1">
        <v>390</v>
      </c>
      <c r="L8" s="5">
        <v>25600</v>
      </c>
      <c r="M8" s="1">
        <v>780</v>
      </c>
      <c r="N8" s="1">
        <v>224</v>
      </c>
      <c r="O8" s="1">
        <v>224.5</v>
      </c>
      <c r="P8" s="1">
        <v>845</v>
      </c>
      <c r="Q8" s="6">
        <v>-25</v>
      </c>
      <c r="R8" s="4">
        <v>224</v>
      </c>
      <c r="S8" s="1">
        <v>12.98</v>
      </c>
      <c r="T8" s="3">
        <v>3358995</v>
      </c>
      <c r="U8" s="3">
        <v>33731</v>
      </c>
      <c r="V8" s="3">
        <v>55818</v>
      </c>
      <c r="W8" s="2"/>
    </row>
    <row r="9" spans="1:23" ht="15" thickBot="1" x14ac:dyDescent="0.35">
      <c r="A9" s="14"/>
      <c r="B9" s="3">
        <v>103021</v>
      </c>
      <c r="C9" s="3">
        <v>81896</v>
      </c>
      <c r="D9" s="3">
        <v>2136730</v>
      </c>
      <c r="E9" s="1">
        <v>11.87</v>
      </c>
      <c r="F9" s="4">
        <v>74.400000000000006</v>
      </c>
      <c r="G9" s="6">
        <v>-24.7</v>
      </c>
      <c r="H9" s="1">
        <v>130</v>
      </c>
      <c r="I9" s="1">
        <v>74.349999999999994</v>
      </c>
      <c r="J9" s="1">
        <v>74.45</v>
      </c>
      <c r="K9" s="3">
        <v>1820</v>
      </c>
      <c r="L9" s="5">
        <v>25650</v>
      </c>
      <c r="M9" s="1">
        <v>195</v>
      </c>
      <c r="N9" s="1">
        <v>256.95</v>
      </c>
      <c r="O9" s="1">
        <v>257.5</v>
      </c>
      <c r="P9" s="1">
        <v>325</v>
      </c>
      <c r="Q9" s="6">
        <v>-19.850000000000001</v>
      </c>
      <c r="R9" s="4">
        <v>256.55</v>
      </c>
      <c r="S9" s="1">
        <v>12.98</v>
      </c>
      <c r="T9" s="3">
        <v>1243920</v>
      </c>
      <c r="U9" s="3">
        <v>11116</v>
      </c>
      <c r="V9" s="3">
        <v>16705</v>
      </c>
      <c r="W9" s="2"/>
    </row>
    <row r="10" spans="1:23" ht="15" thickBot="1" x14ac:dyDescent="0.35">
      <c r="A10" s="14"/>
      <c r="B10" s="3">
        <v>175563</v>
      </c>
      <c r="C10" s="3">
        <v>103739</v>
      </c>
      <c r="D10" s="3">
        <v>2678862</v>
      </c>
      <c r="E10" s="1">
        <v>11.91</v>
      </c>
      <c r="F10" s="4">
        <v>59.65</v>
      </c>
      <c r="G10" s="6">
        <v>-21.9</v>
      </c>
      <c r="H10" s="3">
        <v>1170</v>
      </c>
      <c r="I10" s="1">
        <v>59.55</v>
      </c>
      <c r="J10" s="1">
        <v>59.7</v>
      </c>
      <c r="K10" s="3">
        <v>3705</v>
      </c>
      <c r="L10" s="5">
        <v>25700</v>
      </c>
      <c r="M10" s="1">
        <v>65</v>
      </c>
      <c r="N10" s="1">
        <v>292.60000000000002</v>
      </c>
      <c r="O10" s="1">
        <v>293.14999999999998</v>
      </c>
      <c r="P10" s="1">
        <v>585</v>
      </c>
      <c r="Q10" s="6">
        <v>-17.75</v>
      </c>
      <c r="R10" s="4">
        <v>293.05</v>
      </c>
      <c r="S10" s="1">
        <v>12.86</v>
      </c>
      <c r="T10" s="3">
        <v>1124865</v>
      </c>
      <c r="U10" s="3">
        <v>12861</v>
      </c>
      <c r="V10" s="3">
        <v>29281</v>
      </c>
      <c r="W10" s="2"/>
    </row>
    <row r="11" spans="1:23" ht="15" thickBot="1" x14ac:dyDescent="0.35">
      <c r="A11" s="14"/>
      <c r="B11" s="3">
        <v>70078</v>
      </c>
      <c r="C11" s="3">
        <v>43300</v>
      </c>
      <c r="D11" s="3">
        <v>1391254</v>
      </c>
      <c r="E11" s="1">
        <v>11.92</v>
      </c>
      <c r="F11" s="4">
        <v>47.9</v>
      </c>
      <c r="G11" s="6">
        <v>-19.350000000000001</v>
      </c>
      <c r="H11" s="3">
        <v>2080</v>
      </c>
      <c r="I11" s="1">
        <v>48</v>
      </c>
      <c r="J11" s="1">
        <v>48.1</v>
      </c>
      <c r="K11" s="3">
        <v>1885</v>
      </c>
      <c r="L11" s="5">
        <v>25750</v>
      </c>
      <c r="M11" s="1">
        <v>325</v>
      </c>
      <c r="N11" s="1">
        <v>330.25</v>
      </c>
      <c r="O11" s="1">
        <v>330.95</v>
      </c>
      <c r="P11" s="1">
        <v>325</v>
      </c>
      <c r="Q11" s="6">
        <v>-15.35</v>
      </c>
      <c r="R11" s="4">
        <v>330.3</v>
      </c>
      <c r="S11" s="1">
        <v>10.84</v>
      </c>
      <c r="T11" s="3">
        <v>216317</v>
      </c>
      <c r="U11" s="3">
        <v>1622</v>
      </c>
      <c r="V11" s="3">
        <v>6881</v>
      </c>
      <c r="W11" s="2"/>
    </row>
    <row r="13" spans="1:23" x14ac:dyDescent="0.3">
      <c r="C13" s="22">
        <f>SUM(C3:C11)</f>
        <v>522118</v>
      </c>
      <c r="K13" t="s">
        <v>13</v>
      </c>
      <c r="L13" s="21">
        <f>U13/C13</f>
        <v>0.57884233066088508</v>
      </c>
      <c r="U13" s="20">
        <f>SUM(U3:U11)</f>
        <v>302224</v>
      </c>
    </row>
  </sheetData>
  <mergeCells count="2">
    <mergeCell ref="A1:K1"/>
    <mergeCell ref="M1:W1"/>
  </mergeCells>
  <hyperlinks>
    <hyperlink ref="F3" r:id="rId1" display="https://www.nseindia.com/get-quotes/derivatives?symbol=NIFTY&amp;identifier=OPTIDXNIFTY02-03-2026CE25350.00" xr:uid="{7BD9CA19-7786-4D8C-B9C2-0C8D895BBB29}"/>
    <hyperlink ref="L3" r:id="rId2" display="javascript:;" xr:uid="{7C28521F-22D1-4B58-A108-778914ABD601}"/>
    <hyperlink ref="R3" r:id="rId3" display="https://www.nseindia.com/get-quotes/derivatives?symbol=NIFTY&amp;identifier=OPTIDXNIFTY02-03-2026PE25350.00" xr:uid="{259DA9B0-F806-4120-A9E1-D4E231DD3891}"/>
    <hyperlink ref="F4" r:id="rId4" display="https://www.nseindia.com/get-quotes/derivatives?symbol=NIFTY&amp;identifier=OPTIDXNIFTY02-03-2026CE25400.00" xr:uid="{24747D89-870F-411D-88EF-B3B598EF547A}"/>
    <hyperlink ref="L4" r:id="rId5" display="javascript:;" xr:uid="{302BA5BD-0A3D-4F61-807F-F4AB61143431}"/>
    <hyperlink ref="R4" r:id="rId6" display="https://www.nseindia.com/get-quotes/derivatives?symbol=NIFTY&amp;identifier=OPTIDXNIFTY02-03-2026PE25400.00" xr:uid="{C0132BDC-A00D-4026-AAFE-DCE9FD772AB6}"/>
    <hyperlink ref="F5" r:id="rId7" display="https://www.nseindia.com/get-quotes/derivatives?symbol=NIFTY&amp;identifier=OPTIDXNIFTY02-03-2026CE25450.00" xr:uid="{CF958218-1BBC-4D8D-A61A-93EB18F0D154}"/>
    <hyperlink ref="L5" r:id="rId8" display="javascript:;" xr:uid="{CAAFE826-F43D-4DA3-B012-9F22B94E7E34}"/>
    <hyperlink ref="R5" r:id="rId9" display="https://www.nseindia.com/get-quotes/derivatives?symbol=NIFTY&amp;identifier=OPTIDXNIFTY02-03-2026PE25450.00" xr:uid="{9F46FA3C-F365-4136-9DFA-2512071CF075}"/>
    <hyperlink ref="F6" r:id="rId10" display="https://www.nseindia.com/get-quotes/derivatives?symbol=NIFTY&amp;identifier=OPTIDXNIFTY02-03-2026CE25500.00" xr:uid="{37D678B5-8C56-45ED-9BE3-780EBB9D6BD6}"/>
    <hyperlink ref="L6" r:id="rId11" display="javascript:;" xr:uid="{A221D146-5B57-40FE-A478-E45CC2A95205}"/>
    <hyperlink ref="R6" r:id="rId12" display="https://www.nseindia.com/get-quotes/derivatives?symbol=NIFTY&amp;identifier=OPTIDXNIFTY02-03-2026PE25500.00" xr:uid="{14D3240F-0227-45D2-880B-14D563761FF8}"/>
    <hyperlink ref="F7" r:id="rId13" display="https://www.nseindia.com/get-quotes/derivatives?symbol=NIFTY&amp;identifier=OPTIDXNIFTY02-03-2026CE25550.00" xr:uid="{304AC99E-D328-4DE7-AF16-3E44749A2384}"/>
    <hyperlink ref="L7" r:id="rId14" display="javascript:;" xr:uid="{CC8D2F90-6FB6-4D90-8F19-45BB19B2DC18}"/>
    <hyperlink ref="R7" r:id="rId15" display="https://www.nseindia.com/get-quotes/derivatives?symbol=NIFTY&amp;identifier=OPTIDXNIFTY02-03-2026PE25550.00" xr:uid="{4F8271C7-92AF-4F5E-8BDA-EE08BF361BC0}"/>
    <hyperlink ref="F8" r:id="rId16" display="https://www.nseindia.com/get-quotes/derivatives?symbol=NIFTY&amp;identifier=OPTIDXNIFTY02-03-2026CE25600.00" xr:uid="{AA9BB145-1991-40E6-889B-49237E2C62F2}"/>
    <hyperlink ref="L8" r:id="rId17" display="javascript:;" xr:uid="{0EFD8E1E-F973-4BB4-8C0A-20B00279E08B}"/>
    <hyperlink ref="R8" r:id="rId18" display="https://www.nseindia.com/get-quotes/derivatives?symbol=NIFTY&amp;identifier=OPTIDXNIFTY02-03-2026PE25600.00" xr:uid="{B0E5821B-AEB3-4980-B572-AD29C17A24AC}"/>
    <hyperlink ref="F9" r:id="rId19" display="https://www.nseindia.com/get-quotes/derivatives?symbol=NIFTY&amp;identifier=OPTIDXNIFTY02-03-2026CE25650.00" xr:uid="{00CEB278-65A6-4B9B-81C4-50B4D25BA019}"/>
    <hyperlink ref="L9" r:id="rId20" display="javascript:;" xr:uid="{EC0CE5BE-8A46-4B3D-A2A1-26AE0A75A00A}"/>
    <hyperlink ref="R9" r:id="rId21" display="https://www.nseindia.com/get-quotes/derivatives?symbol=NIFTY&amp;identifier=OPTIDXNIFTY02-03-2026PE25650.00" xr:uid="{6D45740A-A4D4-4139-ACD0-C63C97F737A3}"/>
    <hyperlink ref="F10" r:id="rId22" display="https://www.nseindia.com/get-quotes/derivatives?symbol=NIFTY&amp;identifier=OPTIDXNIFTY02-03-2026CE25700.00" xr:uid="{39592E62-8361-46A1-94F0-7746DEBC70E3}"/>
    <hyperlink ref="L10" r:id="rId23" display="javascript:;" xr:uid="{D2AC5BA2-19B1-4F77-8D94-A920E8C35ED5}"/>
    <hyperlink ref="R10" r:id="rId24" display="https://www.nseindia.com/get-quotes/derivatives?symbol=NIFTY&amp;identifier=OPTIDXNIFTY02-03-2026PE25700.00" xr:uid="{D18A9D2D-0118-410E-9660-1E76CEEC8430}"/>
    <hyperlink ref="F11" r:id="rId25" display="https://www.nseindia.com/get-quotes/derivatives?symbol=NIFTY&amp;identifier=OPTIDXNIFTY02-03-2026CE25750.00" xr:uid="{42CD23BD-6CA7-46F4-B3FD-4959369B151C}"/>
    <hyperlink ref="L11" r:id="rId26" display="javascript:;" xr:uid="{E4E2008D-F6B7-427F-8258-33045E5B204A}"/>
    <hyperlink ref="R11" r:id="rId27" display="https://www.nseindia.com/get-quotes/derivatives?symbol=NIFTY&amp;identifier=OPTIDXNIFTY02-03-2026PE25750.00" xr:uid="{8979BA5B-0791-4E97-8ED0-A53D2CCADB55}"/>
  </hyperlinks>
  <pageMargins left="0.7" right="0.7" top="0.75" bottom="0.75" header="0.3" footer="0.3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dcterms:created xsi:type="dcterms:W3CDTF">2026-02-20T10:06:10Z</dcterms:created>
  <dcterms:modified xsi:type="dcterms:W3CDTF">2026-02-26T20:14:10Z</dcterms:modified>
</cp:coreProperties>
</file>